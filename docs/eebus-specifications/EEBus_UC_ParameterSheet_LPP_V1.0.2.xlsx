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ync\SVN\EEBUS\trunk\TestSpecs\UC_TestSpecs\LimitationOfPowerProduction\"/>
    </mc:Choice>
  </mc:AlternateContent>
  <xr:revisionPtr revIDLastSave="0" documentId="13_ncr:1_{BC2B87C3-2E56-4F16-8077-8C4F1239164B}" xr6:coauthVersionLast="47" xr6:coauthVersionMax="47" xr10:uidLastSave="{00000000-0000-0000-0000-000000000000}"/>
  <bookViews>
    <workbookView xWindow="-120" yWindow="-120" windowWidth="29040" windowHeight="15720" xr2:uid="{494F177C-5D81-4BB2-8B25-4C5A2D28C318}"/>
  </bookViews>
  <sheets>
    <sheet name="Report" sheetId="6" r:id="rId1"/>
    <sheet name="Specific Test Cases" sheetId="1" r:id="rId2"/>
    <sheet name="Optional Support" sheetId="4" r:id="rId3"/>
    <sheet name="Comments" sheetId="3" r:id="rId4"/>
    <sheet name="Legend" sheetId="5" r:id="rId5"/>
  </sheets>
  <definedNames>
    <definedName name="_xlnm.Print_Area" localSheetId="3">Comments!$B$1:$Q$9</definedName>
    <definedName name="_xlnm.Print_Area" localSheetId="1">'Specific Test Cases'!$B$1:$W$77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73" i="1" l="1"/>
  <c r="N173" i="1"/>
  <c r="D27" i="6"/>
  <c r="D25" i="6"/>
  <c r="D18" i="6" a="1"/>
  <c r="E27" i="6"/>
  <c r="E25" i="6"/>
  <c r="D23" i="6"/>
  <c r="E23" i="6"/>
  <c r="F23" i="6"/>
  <c r="E22" i="6" a="1"/>
  <c r="D22" i="6" a="1"/>
  <c r="F22" i="6" a="1"/>
  <c r="E18" i="6" a="1"/>
  <c r="F17" i="6" a="1"/>
  <c r="E17" i="6" a="1"/>
  <c r="D17" i="6" a="1"/>
  <c r="F27" i="6"/>
  <c r="F25" i="6"/>
  <c r="D19" i="6"/>
  <c r="F18" i="6" a="1"/>
  <c r="D37" i="1"/>
  <c r="P123" i="1" l="1"/>
  <c r="Q121" i="1"/>
  <c r="F93" i="1" l="1"/>
  <c r="F91" i="1"/>
  <c r="E93" i="1"/>
  <c r="E91" i="1"/>
  <c r="E94" i="1"/>
  <c r="F90" i="1"/>
  <c r="E90" i="1"/>
  <c r="E92" i="1"/>
  <c r="F87" i="1"/>
  <c r="F85" i="1"/>
  <c r="E87" i="1"/>
  <c r="E89" i="1"/>
  <c r="E88" i="1"/>
  <c r="F89" i="1"/>
  <c r="E85" i="1"/>
  <c r="E86" i="1"/>
  <c r="N79" i="1"/>
  <c r="E83" i="1"/>
  <c r="E125" i="1"/>
  <c r="E117" i="1"/>
  <c r="E116" i="1"/>
  <c r="E112" i="1"/>
  <c r="E111" i="1"/>
  <c r="E104" i="1"/>
  <c r="F105" i="1"/>
  <c r="F104" i="1"/>
  <c r="E105" i="1"/>
  <c r="E192" i="1" l="1"/>
  <c r="E191" i="1"/>
  <c r="E186" i="1"/>
  <c r="E193" i="1"/>
  <c r="E190" i="1"/>
  <c r="E185" i="1"/>
  <c r="E183" i="1"/>
  <c r="E171" i="1"/>
  <c r="E188" i="1"/>
  <c r="E181" i="1"/>
  <c r="E165" i="1"/>
  <c r="E187" i="1"/>
  <c r="E179" i="1"/>
  <c r="E182" i="1"/>
  <c r="E170" i="1"/>
  <c r="E166" i="1"/>
  <c r="E167" i="1"/>
  <c r="E169" i="1"/>
  <c r="E155" i="1"/>
  <c r="E177" i="1"/>
  <c r="E163" i="1"/>
  <c r="E137" i="1"/>
  <c r="K161" i="1"/>
  <c r="K159" i="1"/>
  <c r="K160" i="1"/>
  <c r="K132" i="1"/>
  <c r="E157" i="1"/>
  <c r="E150" i="1"/>
  <c r="E143" i="1"/>
  <c r="E151" i="1"/>
  <c r="E141" i="1"/>
  <c r="E149" i="1"/>
  <c r="E142" i="1"/>
  <c r="E139" i="1"/>
  <c r="E133" i="1"/>
  <c r="E119" i="1"/>
  <c r="L133" i="1"/>
  <c r="L132" i="1"/>
  <c r="K133" i="1"/>
  <c r="F133" i="1"/>
  <c r="F132" i="1"/>
  <c r="E132" i="1"/>
  <c r="E126" i="1"/>
  <c r="K126" i="1"/>
  <c r="O130" i="1"/>
  <c r="O125" i="1"/>
  <c r="N130" i="1"/>
  <c r="N125" i="1"/>
  <c r="L126" i="1"/>
  <c r="L125" i="1"/>
  <c r="K125" i="1"/>
  <c r="K111" i="1"/>
  <c r="F126" i="1"/>
  <c r="F125" i="1"/>
  <c r="E114" i="1"/>
  <c r="E76" i="1"/>
  <c r="F117" i="1"/>
  <c r="F116" i="1"/>
  <c r="F112" i="1"/>
  <c r="O111" i="1"/>
  <c r="N111" i="1"/>
  <c r="L111" i="1"/>
  <c r="F111" i="1"/>
  <c r="K98" i="1"/>
  <c r="N100" i="1"/>
  <c r="N99" i="1"/>
  <c r="N98" i="1"/>
  <c r="N97" i="1"/>
  <c r="N96" i="1"/>
  <c r="N101" i="1"/>
  <c r="N102" i="1"/>
  <c r="K100" i="1"/>
  <c r="K99" i="1"/>
  <c r="K97" i="1"/>
  <c r="K96" i="1"/>
  <c r="K102" i="1"/>
  <c r="K101" i="1"/>
  <c r="K73" i="1"/>
  <c r="N81" i="1"/>
  <c r="E81" i="1"/>
  <c r="E79" i="1"/>
  <c r="E71" i="1"/>
  <c r="K76" i="1"/>
  <c r="K77" i="1"/>
  <c r="K74" i="1"/>
  <c r="E74" i="1"/>
  <c r="L74" i="1"/>
  <c r="L73" i="1"/>
  <c r="F74" i="1"/>
  <c r="E70" i="1"/>
  <c r="F71" i="1"/>
  <c r="F70" i="1"/>
  <c r="E59" i="1"/>
  <c r="E54" i="1"/>
  <c r="E60" i="1"/>
  <c r="E55" i="1"/>
  <c r="E62" i="1"/>
  <c r="E61" i="1"/>
  <c r="E57" i="1"/>
  <c r="F60" i="1"/>
  <c r="F59" i="1"/>
  <c r="E58" i="1"/>
  <c r="E53" i="1"/>
  <c r="L77" i="1"/>
  <c r="L76" i="1"/>
  <c r="F192" i="1"/>
  <c r="F186" i="1"/>
  <c r="O81" i="1"/>
  <c r="O100" i="1"/>
  <c r="O99" i="1"/>
  <c r="O98" i="1"/>
  <c r="O97" i="1"/>
  <c r="O96" i="1"/>
  <c r="O102" i="1"/>
  <c r="O101" i="1"/>
  <c r="L102" i="1"/>
  <c r="L101" i="1"/>
  <c r="L98" i="1"/>
  <c r="R104" i="1"/>
  <c r="R51" i="1"/>
  <c r="D25" i="1"/>
  <c r="D30" i="1" s="1"/>
  <c r="L100" i="1" s="1"/>
  <c r="D14" i="1"/>
  <c r="D15" i="1" s="1"/>
  <c r="F86" i="1" s="1"/>
  <c r="D16" i="1" l="1"/>
  <c r="F88" i="1" s="1"/>
  <c r="D18" i="1"/>
  <c r="F92" i="1" s="1"/>
  <c r="D19" i="1"/>
  <c r="F94" i="1" s="1"/>
  <c r="D27" i="1"/>
  <c r="D26" i="1"/>
  <c r="L96" i="1" s="1"/>
  <c r="D29" i="1"/>
  <c r="L99" i="1" s="1"/>
  <c r="O79" i="1"/>
  <c r="L160" i="1"/>
  <c r="F191" i="1"/>
  <c r="F187" i="1"/>
  <c r="F182" i="1"/>
  <c r="F179" i="1"/>
  <c r="F170" i="1"/>
  <c r="F177" i="1"/>
  <c r="F163" i="1"/>
  <c r="F166" i="1"/>
  <c r="F137" i="1"/>
  <c r="F157" i="1"/>
  <c r="F155" i="1"/>
  <c r="F150" i="1"/>
  <c r="F142" i="1"/>
  <c r="F139" i="1"/>
  <c r="F119" i="1"/>
  <c r="F114" i="1"/>
  <c r="F76" i="1"/>
  <c r="F81" i="1"/>
  <c r="F79" i="1"/>
  <c r="F54" i="1"/>
  <c r="F183" i="1" l="1"/>
  <c r="F61" i="1"/>
  <c r="F62" i="1"/>
  <c r="F53" i="1"/>
  <c r="F57" i="1"/>
  <c r="F58" i="1"/>
  <c r="F188" i="1"/>
  <c r="F185" i="1"/>
  <c r="F193" i="1"/>
  <c r="L159" i="1"/>
  <c r="L97" i="1"/>
  <c r="L161" i="1"/>
  <c r="F149" i="1"/>
  <c r="F171" i="1"/>
  <c r="F55" i="1"/>
  <c r="F190" i="1"/>
  <c r="F167" i="1"/>
  <c r="F151" i="1"/>
  <c r="F83" i="1"/>
  <c r="F143" i="1"/>
  <c r="F141" i="1"/>
  <c r="F169" i="1"/>
  <c r="F181" i="1"/>
  <c r="F165" i="1"/>
  <c r="F22" i="6"/>
  <c r="E22" i="6"/>
  <c r="D22" i="6"/>
  <c r="F18" i="6"/>
  <c r="E18" i="6"/>
  <c r="D18" i="6"/>
  <c r="F17" i="6"/>
  <c r="E17" i="6"/>
  <c r="D17" i="6"/>
  <c r="D28" i="6" l="1"/>
  <c r="D26" i="6"/>
  <c r="D24" i="6"/>
  <c r="E28" i="6"/>
  <c r="E24" i="6"/>
  <c r="E26" i="6"/>
  <c r="F24" i="6"/>
  <c r="F26" i="6"/>
  <c r="F2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<sst xmlns="http://schemas.openxmlformats.org/spreadsheetml/2006/main" count="416" uniqueCount="248">
  <si>
    <t>TEST NO.</t>
  </si>
  <si>
    <t>NAME OF TESTER(S)</t>
  </si>
  <si>
    <t>GENERAL QUESTIONS / COMMENTS</t>
  </si>
  <si>
    <t>COMMENTS / NOTES / ADDITIONS</t>
  </si>
  <si>
    <t>TEST DATE</t>
  </si>
  <si>
    <t>STC ID</t>
  </si>
  <si>
    <t>MANUFACTURER NAME</t>
  </si>
  <si>
    <t>MESSAGE COMBINATIONS</t>
  </si>
  <si>
    <t>TECHNOLOGY</t>
  </si>
  <si>
    <t>MFSDM</t>
  </si>
  <si>
    <t>PFSDM</t>
  </si>
  <si>
    <t>TEST VERDICT</t>
  </si>
  <si>
    <t>ATC_LPP_COM_PT_EGMessages_001</t>
  </si>
  <si>
    <t>MSG_14</t>
  </si>
  <si>
    <t>ATC_LPP_COM_PT_EGMessages_002</t>
  </si>
  <si>
    <t>ATC_LPP_COM_NT_CSConnection_001</t>
  </si>
  <si>
    <t>MSG_16</t>
  </si>
  <si>
    <t>ATC_LPP_COM_PT_CSConnection_002</t>
  </si>
  <si>
    <t>ATC_LPP_COM_PT_CSConnection_003</t>
  </si>
  <si>
    <t>ATC_LPP_COM_PT_CSConnection_004</t>
  </si>
  <si>
    <t>ATC_LPP_COM_PT_CSConnection_005</t>
  </si>
  <si>
    <t>ATC_LPP_COM_PT_CSConnection_007</t>
  </si>
  <si>
    <t>ATC_LPP_COM_PT_CSConnection_006</t>
  </si>
  <si>
    <t>ATC_LPP_COM_PT_CSInit_003</t>
  </si>
  <si>
    <t>ATC_LPP_COM_NT_CSLimited_001</t>
  </si>
  <si>
    <t>ATC_LPP_COM_PT_CSLimited_002</t>
  </si>
  <si>
    <t>ATC_LPP_COM_NT_CSUnlCntrl_001</t>
  </si>
  <si>
    <t>ATC_LPP_COM_PT_CSFS_001</t>
  </si>
  <si>
    <t>ATC_LPP_COM_PT_CSFS_003</t>
  </si>
  <si>
    <t>ATC_LPP_COM_NT_CSUnlAuto_001</t>
  </si>
  <si>
    <t>ATC_LPP_COM_PT_CSTransition1_001</t>
  </si>
  <si>
    <t>ATC_LPP_COM_PT_CSTransition1_002</t>
  </si>
  <si>
    <t>ATC_LPP_COM_PT_CSTransition2_001</t>
  </si>
  <si>
    <t>MSG_15</t>
  </si>
  <si>
    <t>ATC_LPP_COM_PT_CSTransition4_001</t>
  </si>
  <si>
    <t>ATC_LPP_COM_PT_CSTransition6_001</t>
  </si>
  <si>
    <t>ATC_LPP_COM_PT_CSTransition6_002</t>
  </si>
  <si>
    <t>ATC_LPP_COM_PT_CSTransition7_001</t>
  </si>
  <si>
    <t>ATC_LPP_COM_PT_CSTransition8_001</t>
  </si>
  <si>
    <t>ATC_LPP_COM_PT_CSTransition8_002</t>
  </si>
  <si>
    <t>ATC_LPP_COM_PT_CSTransition9_001</t>
  </si>
  <si>
    <t>ATC_LPP_COM_PT_CSTransition11_001</t>
  </si>
  <si>
    <t>ATC_LPP_COM_PT_CSTransition11_002</t>
  </si>
  <si>
    <t>ATC_LPP_COM_PT_CSTransition12_001</t>
  </si>
  <si>
    <t>ATC_LPP_INS1_PT_CSTransition1_001</t>
  </si>
  <si>
    <t>ATC_LPP_INS2_PT_CSTransition1_001</t>
  </si>
  <si>
    <t>FAILSAFE DURATION MINIMUM USED IN
TEST STEP</t>
  </si>
  <si>
    <t>1.1</t>
  </si>
  <si>
    <t>1.2</t>
  </si>
  <si>
    <t>2.1</t>
  </si>
  <si>
    <t>2.2</t>
  </si>
  <si>
    <t>delete</t>
  </si>
  <si>
    <t>e.g. SPINE</t>
  </si>
  <si>
    <t>DEVICE TYPE</t>
  </si>
  <si>
    <t>ATC_LPP_COM_PT_EGHeartbeat_001</t>
  </si>
  <si>
    <t>ATC_LPP_COM_PT_EGConnection_001</t>
  </si>
  <si>
    <t>ATC_LPP_COM_PT_EGConnection_002</t>
  </si>
  <si>
    <t>ATC_LPP_COM_PT_EGConnection_003</t>
  </si>
  <si>
    <t>ATC_LPP_COM_PT_EGMessages_003</t>
  </si>
  <si>
    <t>ATC_LPP_COM_PT_CSHeartbeat_001</t>
  </si>
  <si>
    <t>ATC_LPP_COM_PT_CSConnection_008</t>
  </si>
  <si>
    <t>ATC_LPP_COM_PT_CSInit_001</t>
  </si>
  <si>
    <t>ATC_LPP_COM_PT_CSInit_002</t>
  </si>
  <si>
    <t>ATC_LPP_COM_PT_CSFS_002</t>
  </si>
  <si>
    <t>ATC_LPP_COM_PT_CSUnlAuto_002</t>
  </si>
  <si>
    <t>ATC_LPP_COM_PT_CSTransition3_001</t>
  </si>
  <si>
    <t>ATC_LPP_COM_PT_CSTransition3_002</t>
  </si>
  <si>
    <t>ATC_LPP_COM_PT_CSTransition5_001</t>
  </si>
  <si>
    <t>ATC_LPP_COM_PT_CSTransition10_001</t>
  </si>
  <si>
    <t>ATC_LPP_COM_PT_CSTransition10_002</t>
  </si>
  <si>
    <t>StartUpDur_EG</t>
  </si>
  <si>
    <t>StartUpDur_CS</t>
  </si>
  <si>
    <t>1.05 * MFSDM</t>
  </si>
  <si>
    <t>delta</t>
  </si>
  <si>
    <t>CONSTRAINTS</t>
  </si>
  <si>
    <t>Value</t>
  </si>
  <si>
    <t>ATC_LPP_COM_PT_EGMessages_004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</si>
  <si>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</si>
  <si>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</si>
  <si>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</si>
  <si>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</si>
  <si>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</si>
  <si>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</si>
  <si>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</si>
  <si>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</si>
  <si>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</si>
  <si>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C1</t>
  </si>
  <si>
    <t>C2</t>
  </si>
  <si>
    <t>C3</t>
  </si>
  <si>
    <t>D1</t>
  </si>
  <si>
    <t>D2</t>
  </si>
  <si>
    <t>Supplementary optional verifications</t>
  </si>
  <si>
    <t>M1</t>
  </si>
  <si>
    <t>N1</t>
  </si>
  <si>
    <t>Manufacturer statements on the support of optional protocol functionality.</t>
  </si>
  <si>
    <t>NO.</t>
  </si>
  <si>
    <t>ACTOR</t>
  </si>
  <si>
    <t>FUNCTIONALITY</t>
  </si>
  <si>
    <t>SCENARIO</t>
  </si>
  <si>
    <t>MANDATORY ATC TO
VERIFY STATEMENT</t>
  </si>
  <si>
    <t>Energy Guard</t>
  </si>
  <si>
    <t>ongoing adjustment of CS' limit parameters</t>
  </si>
  <si>
    <t>1, 2</t>
  </si>
  <si>
    <t>state "unlimited/autonomous" implemented</t>
  </si>
  <si>
    <t>1, 2, 3</t>
  </si>
  <si>
    <t>ATC_LPP_COM_PT_EGMessages_003, ATC_LPP_COM_PT_EGMessages_004</t>
  </si>
  <si>
    <t>ATC_LPP_COM_NT_CSUnlAuto_001, ATC_LPP_COM_PT_CSTransition3_001, ATC_LPP_COM_PT_CSTransition3_002, ATC_LPP_COM_PT_CSTransition10_001, ATC_LPP_COM_PT_CSTransition10_002, ATC_LPP_COM_PT_CSTransition11_001, ATC_LPP_COM_PT_CSTransition11_002, ATC_LPP_COM_PT_CSTransition12_001</t>
  </si>
  <si>
    <t>-</t>
  </si>
  <si>
    <t>COMMENTS</t>
  </si>
  <si>
    <t>Note: only works in conjunction with N1 and requires B1</t>
  </si>
  <si>
    <t>Note: only works in conjunction with M1 and requires C1</t>
  </si>
  <si>
    <t>Note: only works in conjunction with B2</t>
  </si>
  <si>
    <t>Note: only works in conjunction with B1</t>
  </si>
  <si>
    <t>Note: only works in conjunction with C2</t>
  </si>
  <si>
    <t>Note: only works in conjunction with C1</t>
  </si>
  <si>
    <t>SUPPORTED?
[Yes/No]</t>
  </si>
  <si>
    <t>Legend</t>
  </si>
  <si>
    <t>Get value of "X" of the other actor.</t>
  </si>
  <si>
    <t>The actor owning "X" sends the value of "X" to the other actor.</t>
  </si>
  <si>
    <t>read "X"</t>
  </si>
  <si>
    <t>write "X"</t>
  </si>
  <si>
    <t>report "X"</t>
  </si>
  <si>
    <t>Set new/changed value of "X" of the other actor or delete "X".</t>
  </si>
  <si>
    <t>Specific Test Cases</t>
  </si>
  <si>
    <t>Greyed-out cells are filled in automatically.</t>
  </si>
  <si>
    <t>Passed</t>
  </si>
  <si>
    <t>Failed</t>
  </si>
  <si>
    <t>Not applicable</t>
  </si>
  <si>
    <t>Test verdict</t>
  </si>
  <si>
    <t>VERIFY?
[Yes/No]</t>
  </si>
  <si>
    <t>Optional Support</t>
  </si>
  <si>
    <t>Supported/Verify?
[Yes/No]</t>
  </si>
  <si>
    <t>Cells with a white background need to be manually filled in with device specific information or information taken from the test specification.</t>
  </si>
  <si>
    <t>Formatting rules</t>
  </si>
  <si>
    <t>Version</t>
  </si>
  <si>
    <t>Revisions</t>
  </si>
  <si>
    <t>Date/Editor</t>
  </si>
  <si>
    <t>According to the chosen test verdict its background is colorized. [PASSED/FAILED/NOT APPLICABLE]</t>
  </si>
  <si>
    <t>Use the drop-down menu to select whether the corresponding ATCs are also to be tested. These ATCs are then to be tested with defined data as STCs. [YES/NO]</t>
  </si>
  <si>
    <t>0 ≤ PFPAPL</t>
  </si>
  <si>
    <t>0 ≤ FPAPL_min &lt; FPAPL_max</t>
  </si>
  <si>
    <t>0 ≤ FPAPL_01 &lt; FPAPL_02 &lt; FPAPL_03 &lt; FPAPL_04 &lt; FPAPL_05</t>
  </si>
  <si>
    <t>FPAPL_DUR_01</t>
  </si>
  <si>
    <t>FPAPL_DUR_02</t>
  </si>
  <si>
    <t>FPAPL_DUR_03</t>
  </si>
  <si>
    <t>FPAPL_01</t>
  </si>
  <si>
    <t>FPAPL_02</t>
  </si>
  <si>
    <t>FPAPL_03</t>
  </si>
  <si>
    <t>FPAPL_04</t>
  </si>
  <si>
    <t>FPAPL_05</t>
  </si>
  <si>
    <t>FPAPL_06</t>
  </si>
  <si>
    <t>PFPAPL</t>
  </si>
  <si>
    <r>
      <t>FPAPL</t>
    </r>
    <r>
      <rPr>
        <b/>
        <vertAlign val="subscript"/>
        <sz val="10"/>
        <color theme="0"/>
        <rFont val="Century Gothic"/>
        <family val="2"/>
      </rPr>
      <t>min</t>
    </r>
  </si>
  <si>
    <r>
      <t>FPAPL</t>
    </r>
    <r>
      <rPr>
        <b/>
        <vertAlign val="subscript"/>
        <sz val="10"/>
        <color theme="0"/>
        <rFont val="Century Gothic"/>
        <family val="2"/>
      </rPr>
      <t>max</t>
    </r>
  </si>
  <si>
    <t>FAILSAFE PRODUCTION ACTIVE POWER LIMIT [Watt]</t>
  </si>
  <si>
    <t>ACTIVE POWER PRODUCTION LIMIT [Watt]</t>
  </si>
  <si>
    <r>
      <t>APPL</t>
    </r>
    <r>
      <rPr>
        <b/>
        <vertAlign val="subscript"/>
        <sz val="10"/>
        <color theme="0"/>
        <rFont val="Century Gothic"/>
        <family val="2"/>
      </rPr>
      <t>min</t>
    </r>
  </si>
  <si>
    <r>
      <t>APPL</t>
    </r>
    <r>
      <rPr>
        <b/>
        <vertAlign val="subscript"/>
        <sz val="10"/>
        <color theme="0"/>
        <rFont val="Century Gothic"/>
        <family val="2"/>
      </rPr>
      <t>max</t>
    </r>
  </si>
  <si>
    <t>APPL_01</t>
  </si>
  <si>
    <t>APPL_02</t>
  </si>
  <si>
    <t>APPL_03</t>
  </si>
  <si>
    <t>APPL_04</t>
  </si>
  <si>
    <t>APPL_05</t>
  </si>
  <si>
    <t>APPL_06</t>
  </si>
  <si>
    <r>
      <t>The cell background in which the values for APPL</t>
    </r>
    <r>
      <rPr>
        <vertAlign val="subscript"/>
        <sz val="10"/>
        <color theme="1"/>
        <rFont val="Century Gothic"/>
        <family val="2"/>
      </rPr>
      <t xml:space="preserve">max </t>
    </r>
    <r>
      <rPr>
        <sz val="10"/>
        <color theme="1"/>
        <rFont val="Century Gothic"/>
        <family val="1"/>
      </rPr>
      <t>and FPAPL</t>
    </r>
    <r>
      <rPr>
        <vertAlign val="subscript"/>
        <sz val="10"/>
        <color theme="1"/>
        <rFont val="Century Gothic"/>
        <family val="2"/>
      </rPr>
      <t>max</t>
    </r>
    <r>
      <rPr>
        <sz val="10"/>
        <color theme="1"/>
        <rFont val="Century Gothic"/>
        <family val="1"/>
      </rPr>
      <t xml:space="preserve"> are entered turns red for visual support when entering wrong values or values in a wrong range. In addition, the cell of the calculated delta is coloured red in this case. </t>
    </r>
  </si>
  <si>
    <t>Controllable System at "LPP instance 1"</t>
  </si>
  <si>
    <t>Controllable System at "LPP instance 2"</t>
  </si>
  <si>
    <t>Controllable System at any LPP instance</t>
  </si>
  <si>
    <t>read/write APPL (value, activation flag, duration)</t>
  </si>
  <si>
    <t>read/write FPAPL and Failsafe Duration Minimum</t>
  </si>
  <si>
    <t>read Power Production Nominal Max</t>
  </si>
  <si>
    <t>read Contractual Production Nominal Max</t>
  </si>
  <si>
    <t>quick resend write APPL if previous write APPL was rejected</t>
  </si>
  <si>
    <t>report Contractual Production Nominal Max</t>
  </si>
  <si>
    <t>no report of Power Production Nominal Max</t>
  </si>
  <si>
    <t>permitted rejection of received APPL write command</t>
  </si>
  <si>
    <t>report Power Production Nominal Max</t>
  </si>
  <si>
    <t>no report Contractual Production Nominal Max</t>
  </si>
  <si>
    <t>auto-adjust too large received APPL</t>
  </si>
  <si>
    <t>limit production according to Contractual Production Nominal Max</t>
  </si>
  <si>
    <t>limit production according to Power Production Nominal Max</t>
  </si>
  <si>
    <t>APPL USED IN
TEST STEP</t>
  </si>
  <si>
    <t>POWER PRODUCTION NOMINAL MAX [Watt]</t>
  </si>
  <si>
    <t>CONTRACTUAL PRODUCTION NOMINAL MAX [Watt]</t>
  </si>
  <si>
    <t>APPL_DUR_02</t>
  </si>
  <si>
    <t>APPL_DUR_01</t>
  </si>
  <si>
    <t>APPL_min &lt; APPL_max ≤ 0</t>
  </si>
  <si>
    <t>ATC_LPP_COM_PT_CSConnection_009</t>
  </si>
  <si>
    <t>0 &lt; Power Production Nominal Max</t>
  </si>
  <si>
    <t>0 &lt; Contractual Production Nominal Max</t>
  </si>
  <si>
    <t>FPAPL USED IN
TEST STEP</t>
  </si>
  <si>
    <t>FAILSAFE PRODUCTION ACTIVE POWER LIMIT - FPAPL [Watt]</t>
  </si>
  <si>
    <t>ACTIVE POWER PRODUCTION LIMIT -
APPL [Watt]</t>
  </si>
  <si>
    <t>APPL_05 &lt; APPL_04 &lt; APPL_03 &lt; APPL_02 &lt; APPL_01 ≤ 0</t>
  </si>
  <si>
    <t>E1</t>
  </si>
  <si>
    <t>black start</t>
  </si>
  <si>
    <t>E2</t>
  </si>
  <si>
    <t>STARTUP DURATION [seconds]</t>
  </si>
  <si>
    <t>ACTIVE POWER PRODUCTION LIMIT DURATION [seconds]</t>
  </si>
  <si>
    <t>FAILSAFE DURATION MINIMUM
[h[m[s]]]</t>
  </si>
  <si>
    <t>FAILSAFE DURATION MINIMUM [h[m[s]]]</t>
  </si>
  <si>
    <t>3.1</t>
  </si>
  <si>
    <t>3.2</t>
  </si>
  <si>
    <t>4.1</t>
  </si>
  <si>
    <t>4.2</t>
  </si>
  <si>
    <t>5.1</t>
  </si>
  <si>
    <t>5.2</t>
  </si>
  <si>
    <t>CS type CEM?</t>
  </si>
  <si>
    <t>ATC_LPP_COM_PT_CSUnlCntrl_002</t>
  </si>
  <si>
    <t>ATC_LPP_COM_PT_CSUnlCntrl_003</t>
  </si>
  <si>
    <t>V1.0.0</t>
  </si>
  <si>
    <t>2024-04-30 - SH</t>
  </si>
  <si>
    <t xml:space="preserve"> </t>
  </si>
  <si>
    <t>MODEL</t>
  </si>
  <si>
    <t>Overall Status</t>
  </si>
  <si>
    <t>Number of ATCs</t>
  </si>
  <si>
    <t>Number of STCs</t>
  </si>
  <si>
    <t>Test cycle duration</t>
  </si>
  <si>
    <t>Execution Status</t>
  </si>
  <si>
    <t>Number of STCs executed</t>
  </si>
  <si>
    <t>Number of passed STCs</t>
  </si>
  <si>
    <t>Passed percentage</t>
  </si>
  <si>
    <t>Number of failed STCs</t>
  </si>
  <si>
    <t>Failed percentage</t>
  </si>
  <si>
    <t>Number of not applicable STCs</t>
  </si>
  <si>
    <t>Not applicable percentage</t>
  </si>
  <si>
    <t>Actor</t>
  </si>
  <si>
    <t>SCENARIO(S)</t>
  </si>
  <si>
    <t>e.g. 1, 2, 3, 4</t>
  </si>
  <si>
    <t>CS</t>
  </si>
  <si>
    <t>EG</t>
  </si>
  <si>
    <t>Total</t>
  </si>
  <si>
    <t>V1.0.1</t>
  </si>
  <si>
    <t>2025-11-27 - SH &amp; MW</t>
  </si>
  <si>
    <t>2h ≤ PFSDM ≤ MFSDM</t>
  </si>
  <si>
    <r>
      <t xml:space="preserve">(*) applies only if PFSDM </t>
    </r>
    <r>
      <rPr>
        <sz val="10"/>
        <color rgb="FF000000"/>
        <rFont val="Aptos Narrow"/>
        <family val="2"/>
      </rPr>
      <t>≥</t>
    </r>
    <r>
      <rPr>
        <sz val="10"/>
        <color rgb="FF000000"/>
        <rFont val="Century Gothic"/>
        <family val="1"/>
      </rPr>
      <t xml:space="preserve"> MFSDM</t>
    </r>
  </si>
  <si>
    <t>PFSDM &lt; FPAPL_DUR_02 &lt; MFSDM
OR    FPAPL_DUR_02 = MFSDM (*)</t>
  </si>
  <si>
    <t>D3</t>
  </si>
  <si>
    <t>store FPAPL and Failsafe Duration Minimum values persistently</t>
  </si>
  <si>
    <t>V1.0.2</t>
  </si>
  <si>
    <t>2026-07-17 - MW &amp; AS</t>
  </si>
  <si>
    <t>LPP PARAMETER SHEET - OPTIONAL SUPPORT</t>
  </si>
  <si>
    <t>LPP PARAMETER SHEET - LEGEND</t>
  </si>
  <si>
    <t>LPP PARAMETER SHEET - COMMENTS</t>
  </si>
  <si>
    <t>LPP PARAMETER SHEET - TEST CASES</t>
  </si>
  <si>
    <t>EEBus_UC_HighLevel_TestSpecification_LPP_V1.0.2</t>
  </si>
  <si>
    <t>TEST SPECIFICATION</t>
  </si>
  <si>
    <t xml:space="preserve">                  LPP PARAMETER SHEET -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</si>
</sst>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&quot;s&quot;"/>
  </numFmts>
  <fonts count="30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b/>
      <vertAlign val="subscript"/>
      <sz val="10"/>
      <color theme="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sz val="10"/>
      <color rgb="FFFF0000"/>
      <name val="Century Gothic"/>
      <family val="1"/>
    </font>
    <font>
      <b/>
      <sz val="10"/>
      <color theme="0"/>
      <name val="Century Gothic"/>
      <family val="2"/>
    </font>
    <font>
      <b/>
      <sz val="11"/>
      <color theme="0"/>
      <name val="Century Gothic"/>
      <family val="1"/>
    </font>
    <font>
      <strike/>
      <sz val="10"/>
      <color rgb="FF000000"/>
      <name val="Century Gothic"/>
      <family val="2"/>
    </font>
    <font>
      <strike/>
      <sz val="10"/>
      <color rgb="FF000000"/>
      <name val="Century Gothic"/>
      <family val="1"/>
    </font>
    <font>
      <vertAlign val="subscript"/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2"/>
    </font>
    <font>
      <sz val="10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198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3" fillId="6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3" fillId="6" borderId="1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vertical="center"/>
    </xf>
    <xf numFmtId="0" fontId="15" fillId="2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13" fillId="2" borderId="0" xfId="0" applyFont="1" applyFill="1" applyAlignment="1">
      <alignment vertical="center" wrapText="1"/>
    </xf>
    <xf numFmtId="0" fontId="10" fillId="2" borderId="0" xfId="0" applyFont="1" applyFill="1"/>
    <xf numFmtId="0" fontId="0" fillId="2" borderId="0" xfId="0" applyFill="1"/>
    <xf numFmtId="0" fontId="9" fillId="2" borderId="16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" fillId="2" borderId="0" xfId="0" applyFont="1" applyFill="1"/>
    <xf numFmtId="0" fontId="2" fillId="2" borderId="0" xfId="0" applyFont="1" applyFill="1"/>
    <xf numFmtId="0" fontId="9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9" borderId="4" xfId="0" applyFont="1" applyFill="1" applyBorder="1" applyAlignment="1">
      <alignment vertical="center" wrapText="1"/>
    </xf>
    <xf numFmtId="0" fontId="17" fillId="9" borderId="8" xfId="0" applyFont="1" applyFill="1" applyBorder="1" applyAlignment="1">
      <alignment horizontal="left" vertical="center"/>
    </xf>
    <xf numFmtId="0" fontId="9" fillId="9" borderId="5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horizontal="center" vertical="center" wrapText="1"/>
    </xf>
    <xf numFmtId="164" fontId="9" fillId="9" borderId="4" xfId="0" applyNumberFormat="1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49" fontId="9" fillId="9" borderId="4" xfId="0" applyNumberFormat="1" applyFont="1" applyFill="1" applyBorder="1" applyAlignment="1">
      <alignment horizontal="center" vertical="center" wrapText="1"/>
    </xf>
    <xf numFmtId="20" fontId="9" fillId="9" borderId="4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9" borderId="1" xfId="0" quotePrefix="1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left" vertical="center" wrapText="1" indent="1"/>
    </xf>
    <xf numFmtId="0" fontId="9" fillId="2" borderId="0" xfId="0" quotePrefix="1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10" fillId="2" borderId="4" xfId="0" applyFont="1" applyFill="1" applyBorder="1" applyAlignment="1">
      <alignment vertical="center" wrapText="1"/>
    </xf>
    <xf numFmtId="0" fontId="10" fillId="10" borderId="5" xfId="0" applyFont="1" applyFill="1" applyBorder="1" applyAlignment="1">
      <alignment vertical="center" wrapText="1"/>
    </xf>
    <xf numFmtId="0" fontId="10" fillId="12" borderId="5" xfId="0" applyFont="1" applyFill="1" applyBorder="1" applyAlignment="1">
      <alignment vertical="center" wrapText="1"/>
    </xf>
    <xf numFmtId="0" fontId="10" fillId="11" borderId="5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9" borderId="1" xfId="0" quotePrefix="1" applyFont="1" applyFill="1" applyBorder="1" applyAlignment="1">
      <alignment horizontal="center" vertical="center" wrapText="1"/>
    </xf>
    <xf numFmtId="49" fontId="9" fillId="9" borderId="1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2" borderId="0" xfId="0" applyFont="1" applyFill="1"/>
    <xf numFmtId="0" fontId="24" fillId="0" borderId="0" xfId="0" applyFont="1"/>
    <xf numFmtId="0" fontId="25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49" fontId="10" fillId="9" borderId="1" xfId="0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8" fillId="9" borderId="5" xfId="0" applyFont="1" applyFill="1" applyBorder="1" applyAlignment="1">
      <alignment horizontal="center" vertical="center" wrapText="1"/>
    </xf>
    <xf numFmtId="0" fontId="5" fillId="2" borderId="0" xfId="0" quotePrefix="1" applyFont="1" applyFill="1" applyAlignment="1">
      <alignment horizontal="left" vertical="center" wrapText="1"/>
    </xf>
    <xf numFmtId="0" fontId="28" fillId="2" borderId="8" xfId="0" applyFont="1" applyFill="1" applyBorder="1" applyAlignment="1">
      <alignment horizontal="right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9" borderId="5" xfId="0" quotePrefix="1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vertical="center" wrapText="1"/>
    </xf>
    <xf numFmtId="0" fontId="28" fillId="9" borderId="1" xfId="0" applyFont="1" applyFill="1" applyBorder="1" applyAlignment="1">
      <alignment horizontal="center" vertical="center" wrapText="1"/>
    </xf>
    <xf numFmtId="9" fontId="28" fillId="9" borderId="9" xfId="0" applyNumberFormat="1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right" vertical="center" wrapText="1" indent="1"/>
    </xf>
    <xf numFmtId="0" fontId="18" fillId="5" borderId="9" xfId="0" applyFont="1" applyFill="1" applyBorder="1" applyAlignment="1">
      <alignment horizontal="right" vertical="center" wrapText="1" indent="1"/>
    </xf>
    <xf numFmtId="0" fontId="18" fillId="5" borderId="13" xfId="0" applyFont="1" applyFill="1" applyBorder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9" fillId="5" borderId="4" xfId="0" applyFont="1" applyFill="1" applyBorder="1" applyAlignment="1">
      <alignment horizontal="left" vertical="center" wrapText="1"/>
    </xf>
    <xf numFmtId="0" fontId="19" fillId="5" borderId="8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13" fillId="5" borderId="4" xfId="0" applyFont="1" applyFill="1" applyBorder="1" applyAlignment="1">
      <alignment horizontal="left" vertical="center" wrapText="1"/>
    </xf>
    <xf numFmtId="0" fontId="13" fillId="5" borderId="8" xfId="0" applyFont="1" applyFill="1" applyBorder="1" applyAlignment="1">
      <alignment horizontal="left" vertical="center" wrapText="1"/>
    </xf>
    <xf numFmtId="0" fontId="28" fillId="9" borderId="4" xfId="0" applyFont="1" applyFill="1" applyBorder="1" applyAlignment="1">
      <alignment horizontal="center" vertical="center" wrapText="1"/>
    </xf>
    <xf numFmtId="0" fontId="28" fillId="9" borderId="8" xfId="0" applyFont="1" applyFill="1" applyBorder="1" applyAlignment="1">
      <alignment horizontal="center" vertical="center" wrapText="1"/>
    </xf>
    <xf numFmtId="0" fontId="28" fillId="9" borderId="5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right" vertical="center" wrapText="1" indent="1"/>
    </xf>
    <xf numFmtId="0" fontId="18" fillId="5" borderId="5" xfId="0" applyFont="1" applyFill="1" applyBorder="1" applyAlignment="1">
      <alignment horizontal="right" vertical="center" wrapText="1" indent="1"/>
    </xf>
    <xf numFmtId="0" fontId="27" fillId="2" borderId="17" xfId="0" applyFont="1" applyFill="1" applyBorder="1" applyAlignment="1">
      <alignment horizontal="left" vertical="center"/>
    </xf>
    <xf numFmtId="0" fontId="27" fillId="2" borderId="2" xfId="0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15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12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49" fontId="15" fillId="2" borderId="5" xfId="0" applyNumberFormat="1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6" borderId="8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4" xfId="0" applyNumberFormat="1" applyFont="1" applyFill="1" applyBorder="1" applyAlignment="1">
      <alignment horizontal="center" vertical="center" wrapText="1"/>
    </xf>
    <xf numFmtId="165" fontId="15" fillId="2" borderId="5" xfId="0" applyNumberFormat="1" applyFont="1" applyFill="1" applyBorder="1" applyAlignment="1">
      <alignment horizontal="center" vertical="center" wrapText="1"/>
    </xf>
    <xf numFmtId="165" fontId="15" fillId="9" borderId="4" xfId="0" applyNumberFormat="1" applyFont="1" applyFill="1" applyBorder="1" applyAlignment="1">
      <alignment horizontal="center" vertical="center" wrapText="1"/>
    </xf>
    <xf numFmtId="165" fontId="15" fillId="9" borderId="5" xfId="0" applyNumberFormat="1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26" fillId="3" borderId="9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left" vertical="center" wrapText="1"/>
    </xf>
    <xf numFmtId="0" fontId="18" fillId="4" borderId="8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</cellXfs>
  <cellStyles count="4">
    <cellStyle name="Besuchter Hyperlink" xfId="2" builtinId="9" hidden="1"/>
    <cellStyle name="Link" xfId="1" builtinId="8" hidden="1"/>
    <cellStyle name="Normal 2" xfId="3" xr:uid="{00000000-0005-0000-0000-000004000000}"/>
    <cellStyle name="Standard" xfId="0" builtinId="0"/>
  </cellStyles>
  <dxfs count="11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7"/>
  <colors>
    <mruColors>
      <color rgb="FFA6C9EC"/>
      <color rgb="FFF7C7AC"/>
      <color rgb="FFE49EDD"/>
      <color rgb="FFB5E6A2"/>
      <color rgb="FFD9D9D9"/>
      <color rgb="FFEAEEF3"/>
      <color rgb="FFDAF0F3"/>
      <color rgb="FFE6E6E6"/>
      <color rgb="FFFAFAFA"/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6061</xdr:colOff>
      <xdr:row>0</xdr:row>
      <xdr:rowOff>71870</xdr:rowOff>
    </xdr:from>
    <xdr:ext cx="1778826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59398F62-3824-4CE4-87C1-C194F99AF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71870"/>
          <a:ext cx="1778826" cy="5048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</xdr:colOff>
      <xdr:row>0</xdr:row>
      <xdr:rowOff>81395</xdr:rowOff>
    </xdr:from>
    <xdr:to>
      <xdr:col>2</xdr:col>
      <xdr:colOff>1203862</xdr:colOff>
      <xdr:row>1</xdr:row>
      <xdr:rowOff>14790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80075-6057-4379-997F-C9E007CB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</xdr:colOff>
      <xdr:row>0</xdr:row>
      <xdr:rowOff>81395</xdr:rowOff>
    </xdr:from>
    <xdr:to>
      <xdr:col>2</xdr:col>
      <xdr:colOff>1203862</xdr:colOff>
      <xdr:row>1</xdr:row>
      <xdr:rowOff>14790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C05BB8-5B1B-496C-AF57-25F73A10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</xdr:colOff>
      <xdr:row>0</xdr:row>
      <xdr:rowOff>81395</xdr:rowOff>
    </xdr:from>
    <xdr:to>
      <xdr:col>2</xdr:col>
      <xdr:colOff>1203862</xdr:colOff>
      <xdr:row>1</xdr:row>
      <xdr:rowOff>14790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6A1C3-6526-4269-B57D-24BBCCCDD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6061</xdr:colOff>
      <xdr:row>0</xdr:row>
      <xdr:rowOff>81395</xdr:rowOff>
    </xdr:from>
    <xdr:ext cx="1778826" cy="504895"/>
    <xdr:pic>
      <xdr:nvPicPr>
        <xdr:cNvPr id="7" name="Picture 6">
          <a:extLst>
            <a:ext uri="{FF2B5EF4-FFF2-40B4-BE49-F238E27FC236}">
              <a16:creationId xmlns:a16="http://schemas.microsoft.com/office/drawing/2014/main" id="{DCBE8641-B105-4057-A97E-D2B54ABF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EADD-B1A9-4EF1-B060-D60F4854914B}">
  <sheetPr>
    <tabColor rgb="FFA6C9EC"/>
  </sheetPr>
  <dimension ref="A1:G33"/>
  <sheetViews>
    <sheetView tabSelected="1" zoomScaleNormal="100" workbookViewId="0"/>
  </sheetViews>
  <sheetFormatPr baseColWidth="10" defaultColWidth="0" defaultRowHeight="0" customHeight="1" zeroHeight="1" x14ac:dyDescent="0.2"/>
  <cols>
    <col min="1" max="1" width="3" style="28" customWidth="1"/>
    <col min="2" max="2" width="4.7109375" style="28" customWidth="1"/>
    <col min="3" max="3" width="32.7109375" style="28" customWidth="1"/>
    <col min="4" max="6" width="17.140625" style="28" customWidth="1"/>
    <col min="7" max="7" width="3" style="28" customWidth="1"/>
    <col min="8" max="16384" width="11.42578125" style="28" hidden="1"/>
  </cols>
  <sheetData>
    <row r="1" spans="1:7" s="3" customFormat="1" ht="45" customHeight="1" x14ac:dyDescent="0.2">
      <c r="A1" s="3" t="s">
        <v>212</v>
      </c>
      <c r="C1" s="122" t="s">
        <v>247</v>
      </c>
      <c r="D1" s="122"/>
      <c r="E1" s="122"/>
      <c r="F1" s="122"/>
      <c r="G1" s="122"/>
    </row>
    <row r="2" spans="1:7" s="3" customFormat="1" ht="19.5" customHeight="1" x14ac:dyDescent="0.2">
      <c r="C2" s="9"/>
      <c r="D2" s="9"/>
      <c r="E2" s="9"/>
      <c r="F2" s="9"/>
      <c r="G2" s="9"/>
    </row>
    <row r="3" spans="1:7" s="31" customFormat="1" ht="19.899999999999999" customHeight="1" x14ac:dyDescent="0.25">
      <c r="A3" s="30"/>
      <c r="B3" s="131" t="s">
        <v>6</v>
      </c>
      <c r="C3" s="131"/>
      <c r="D3" s="131"/>
      <c r="E3" s="131"/>
      <c r="F3" s="131"/>
      <c r="G3" s="10"/>
    </row>
    <row r="4" spans="1:7" s="31" customFormat="1" ht="27" customHeight="1" thickBot="1" x14ac:dyDescent="0.3">
      <c r="A4" s="30"/>
      <c r="B4" s="132"/>
      <c r="C4" s="133"/>
      <c r="D4" s="133"/>
      <c r="E4" s="133"/>
      <c r="F4" s="134"/>
      <c r="G4" s="18"/>
    </row>
    <row r="5" spans="1:7" s="31" customFormat="1" ht="19.899999999999999" customHeight="1" x14ac:dyDescent="0.25">
      <c r="A5" s="30"/>
      <c r="B5" s="131" t="s">
        <v>213</v>
      </c>
      <c r="C5" s="131"/>
      <c r="D5" s="131"/>
      <c r="E5" s="131"/>
      <c r="F5" s="131"/>
      <c r="G5" s="10"/>
    </row>
    <row r="6" spans="1:7" s="31" customFormat="1" ht="27" customHeight="1" thickBot="1" x14ac:dyDescent="0.3">
      <c r="A6" s="30"/>
      <c r="B6" s="132"/>
      <c r="C6" s="133"/>
      <c r="D6" s="133"/>
      <c r="E6" s="133"/>
      <c r="F6" s="134"/>
      <c r="G6" s="18"/>
    </row>
    <row r="7" spans="1:7" s="31" customFormat="1" ht="19.5" customHeight="1" x14ac:dyDescent="0.25">
      <c r="A7" s="30"/>
      <c r="B7" s="130" t="s">
        <v>53</v>
      </c>
      <c r="C7" s="130"/>
      <c r="D7" s="130"/>
      <c r="E7" s="130"/>
      <c r="F7" s="130"/>
      <c r="G7" s="10"/>
    </row>
    <row r="8" spans="1:7" s="31" customFormat="1" ht="27" customHeight="1" thickBot="1" x14ac:dyDescent="0.3">
      <c r="A8" s="30"/>
      <c r="B8" s="135"/>
      <c r="C8" s="136"/>
      <c r="D8" s="136"/>
      <c r="E8" s="136"/>
      <c r="F8" s="137"/>
      <c r="G8" s="18"/>
    </row>
    <row r="9" spans="1:7" s="31" customFormat="1" ht="19.5" customHeight="1" x14ac:dyDescent="0.25">
      <c r="A9" s="30"/>
      <c r="B9" s="130" t="s">
        <v>246</v>
      </c>
      <c r="C9" s="130"/>
      <c r="D9" s="130"/>
      <c r="E9" s="130"/>
      <c r="F9" s="130"/>
      <c r="G9" s="10"/>
    </row>
    <row r="10" spans="1:7" s="31" customFormat="1" ht="27" customHeight="1" thickBot="1" x14ac:dyDescent="0.3">
      <c r="A10" s="30"/>
      <c r="B10" s="138" t="s">
        <v>245</v>
      </c>
      <c r="C10" s="139"/>
      <c r="D10" s="139"/>
      <c r="E10" s="139"/>
      <c r="F10" s="139"/>
      <c r="G10" s="18"/>
    </row>
    <row r="11" spans="1:7" s="31" customFormat="1" ht="19.5" customHeight="1" x14ac:dyDescent="0.25">
      <c r="A11" s="30"/>
      <c r="B11" s="130" t="s">
        <v>227</v>
      </c>
      <c r="C11" s="130"/>
      <c r="D11" s="130"/>
      <c r="E11" s="130"/>
      <c r="F11" s="130"/>
      <c r="G11" s="10"/>
    </row>
    <row r="12" spans="1:7" s="31" customFormat="1" ht="27" customHeight="1" thickBot="1" x14ac:dyDescent="0.3">
      <c r="A12" s="30"/>
      <c r="B12" s="135" t="s">
        <v>228</v>
      </c>
      <c r="C12" s="136"/>
      <c r="D12" s="136"/>
      <c r="E12" s="136"/>
      <c r="F12" s="137"/>
      <c r="G12" s="18"/>
    </row>
    <row r="13" spans="1:7" s="31" customFormat="1" ht="19.899999999999999" customHeight="1" x14ac:dyDescent="0.25">
      <c r="A13" s="30"/>
      <c r="B13" s="130" t="s">
        <v>1</v>
      </c>
      <c r="C13" s="130"/>
      <c r="D13" s="130"/>
      <c r="E13" s="130"/>
      <c r="F13" s="130"/>
      <c r="G13" s="10"/>
    </row>
    <row r="14" spans="1:7" s="31" customFormat="1" ht="39.75" customHeight="1" thickBot="1" x14ac:dyDescent="0.3">
      <c r="A14" s="30"/>
      <c r="B14" s="140"/>
      <c r="C14" s="141"/>
      <c r="D14" s="141"/>
      <c r="E14" s="141"/>
      <c r="F14" s="142"/>
      <c r="G14" s="32"/>
    </row>
    <row r="15" spans="1:7" s="31" customFormat="1" ht="19.5" customHeight="1" x14ac:dyDescent="0.25">
      <c r="A15" s="30"/>
      <c r="B15" s="89"/>
      <c r="C15" s="90"/>
      <c r="D15" s="90"/>
      <c r="E15" s="90"/>
      <c r="F15" s="90"/>
      <c r="G15" s="33"/>
    </row>
    <row r="16" spans="1:7" s="3" customFormat="1" ht="19.5" customHeight="1" x14ac:dyDescent="0.2">
      <c r="B16" s="123" t="s">
        <v>214</v>
      </c>
      <c r="C16" s="124"/>
      <c r="D16" s="103" t="s">
        <v>229</v>
      </c>
      <c r="E16" s="103" t="s">
        <v>230</v>
      </c>
      <c r="F16" s="103" t="s">
        <v>231</v>
      </c>
      <c r="G16" s="15"/>
    </row>
    <row r="17" spans="2:7" s="3" customFormat="1" ht="19.5" customHeight="1" x14ac:dyDescent="0.2">
      <c r="B17" s="128" t="s">
        <v>215</v>
      </c>
      <c r="C17" s="129"/>
      <c r="D17" s="91" cm="1">
        <f t="array" ref="D17">SUMPRODUCT(--(ISNUMBER(SEARCH("ATC_LPP_",'Specific Test Cases'!B44:B193)) * ISNUMBER(SEARCH("CS",'Specific Test Cases'!B44:B193)) &gt; 0))</f>
        <v>43</v>
      </c>
      <c r="E17" s="91" cm="1">
        <f t="array" ref="E17">SUMPRODUCT(--(ISNUMBER(SEARCH("ATC_LPP_",'Specific Test Cases'!B44:B193)) * ISNUMBER(SEARCH("EG",'Specific Test Cases'!B44:B193)) &gt; 0))</f>
        <v>8</v>
      </c>
      <c r="F17" s="91" cm="1">
        <f t="array" ref="F17">SUMPRODUCT(--ISNUMBER(SEARCH("ATC_LPP_",'Specific Test Cases'!B44:B193)))</f>
        <v>51</v>
      </c>
      <c r="G17" s="15"/>
    </row>
    <row r="18" spans="2:7" s="3" customFormat="1" ht="19.5" customHeight="1" x14ac:dyDescent="0.2">
      <c r="B18" s="128" t="s">
        <v>216</v>
      </c>
      <c r="C18" s="129"/>
      <c r="D18" s="91" cm="1">
        <f t="array" ref="D18">SUMPRODUCT(--ISNUMBER(VALUE('Specific Test Cases'!B68:B193)))</f>
        <v>84</v>
      </c>
      <c r="E18" s="91" cm="1">
        <f t="array" ref="E18">SUMPRODUCT(--ISNUMBER(VALUE('Specific Test Cases'!B44:B66)))</f>
        <v>15</v>
      </c>
      <c r="F18" s="91" cm="1">
        <f t="array" ref="F18">SUMPRODUCT(--ISNUMBER(VALUE('Specific Test Cases'!B44:B193)))</f>
        <v>99</v>
      </c>
      <c r="G18" s="92"/>
    </row>
    <row r="19" spans="2:7" s="3" customFormat="1" ht="19.5" customHeight="1" x14ac:dyDescent="0.2">
      <c r="B19" s="128" t="s">
        <v>217</v>
      </c>
      <c r="C19" s="129"/>
      <c r="D19" s="125" t="str">
        <f>IF(COUNT('Specific Test Cases'!C44:C193)=0, "0 days", IF(MAX('Specific Test Cases'!C44:C193)=MIN('Specific Test Cases'!C44:C193), "1 day", TEXT(MAX('Specific Test Cases'!C44:C193)-MIN('Specific Test Cases'!C44:C193),"0") &amp; " days"))</f>
        <v>0 days</v>
      </c>
      <c r="E19" s="126"/>
      <c r="F19" s="127"/>
      <c r="G19" s="15"/>
    </row>
    <row r="20" spans="2:7" s="3" customFormat="1" ht="19.5" customHeight="1" x14ac:dyDescent="0.2">
      <c r="B20" s="93"/>
      <c r="C20" s="93"/>
      <c r="D20" s="93"/>
      <c r="E20" s="93"/>
      <c r="F20" s="94"/>
      <c r="G20" s="15"/>
    </row>
    <row r="21" spans="2:7" s="3" customFormat="1" ht="19.5" customHeight="1" x14ac:dyDescent="0.2">
      <c r="B21" s="123" t="s">
        <v>218</v>
      </c>
      <c r="C21" s="124"/>
      <c r="D21" s="103" t="s">
        <v>229</v>
      </c>
      <c r="E21" s="103" t="s">
        <v>230</v>
      </c>
      <c r="F21" s="103" t="s">
        <v>231</v>
      </c>
      <c r="G21" s="15"/>
    </row>
    <row r="22" spans="2:7" ht="19.5" customHeight="1" x14ac:dyDescent="0.2">
      <c r="B22" s="128" t="s">
        <v>219</v>
      </c>
      <c r="C22" s="129"/>
      <c r="D22" s="95" cm="1">
        <f t="array" ref="D22">SUMPRODUCT((('Specific Test Cases'!S68:S193="Passed")+('Specific Test Cases'!S68:S193="Failed")+('Specific Test Cases'!S68:S193="Not applicable"))*1)</f>
        <v>0</v>
      </c>
      <c r="E22" s="95" cm="1">
        <f t="array" ref="E22">SUMPRODUCT((('Specific Test Cases'!S45:S66="Passed")+('Specific Test Cases'!S45:S66="Failed")+('Specific Test Cases'!S45:S66="Not applicable"))*1)</f>
        <v>0</v>
      </c>
      <c r="F22" s="95" cm="1">
        <f t="array" ref="F22">SUMPRODUCT((('Specific Test Cases'!S44:S193="Passed")+('Specific Test Cases'!S44:S193="Failed")+('Specific Test Cases'!S44:S193="Not applicable"))*1)</f>
        <v>0</v>
      </c>
      <c r="G22" s="16"/>
    </row>
    <row r="23" spans="2:7" ht="19.5" customHeight="1" x14ac:dyDescent="0.2">
      <c r="B23" s="96"/>
      <c r="C23" s="99" t="s">
        <v>220</v>
      </c>
      <c r="D23" s="91">
        <f>COUNTIF('Specific Test Cases'!S68:S193,"Passed")</f>
        <v>0</v>
      </c>
      <c r="E23" s="97">
        <f>COUNTIF('Specific Test Cases'!S45:S66,"Passed")</f>
        <v>0</v>
      </c>
      <c r="F23" s="97">
        <f>COUNTIF('Specific Test Cases'!S44:S193,"Passed")</f>
        <v>0</v>
      </c>
    </row>
    <row r="24" spans="2:7" ht="19.5" customHeight="1" x14ac:dyDescent="0.2">
      <c r="B24" s="102"/>
      <c r="C24" s="100" t="s">
        <v>221</v>
      </c>
      <c r="D24" s="98">
        <f>IF(OR(D23=0,D22=0),0,D23/D22)</f>
        <v>0</v>
      </c>
      <c r="E24" s="98">
        <f>IF(OR(E23=0,E22=0),0,E23/E22)</f>
        <v>0</v>
      </c>
      <c r="F24" s="98">
        <f>IF(OR(F23=0,F22=0),0,F23/F22)</f>
        <v>0</v>
      </c>
    </row>
    <row r="25" spans="2:7" ht="19.5" customHeight="1" x14ac:dyDescent="0.2">
      <c r="B25" s="101"/>
      <c r="C25" s="99" t="s">
        <v>222</v>
      </c>
      <c r="D25" s="91">
        <f>COUNTIF('Specific Test Cases'!S68:S193,"Failed")</f>
        <v>0</v>
      </c>
      <c r="E25" s="97">
        <f>COUNTIF('Specific Test Cases'!S45:S66,"Failed")</f>
        <v>0</v>
      </c>
      <c r="F25" s="97">
        <f>COUNTIF('Specific Test Cases'!S44:S193,"Failed")</f>
        <v>0</v>
      </c>
    </row>
    <row r="26" spans="2:7" ht="19.5" customHeight="1" x14ac:dyDescent="0.2">
      <c r="B26" s="102"/>
      <c r="C26" s="100" t="s">
        <v>223</v>
      </c>
      <c r="D26" s="98">
        <f>IF(OR(D25=0,D22=0),0,D25/D22)</f>
        <v>0</v>
      </c>
      <c r="E26" s="98">
        <f>IF(OR(E25=0,E22=0),0,E25/E22)</f>
        <v>0</v>
      </c>
      <c r="F26" s="98">
        <f>IF(OR(F25=0,F22=0),0,F25/F22)</f>
        <v>0</v>
      </c>
    </row>
    <row r="27" spans="2:7" ht="19.5" customHeight="1" x14ac:dyDescent="0.2">
      <c r="B27" s="101"/>
      <c r="C27" s="99" t="s">
        <v>224</v>
      </c>
      <c r="D27" s="91">
        <f>COUNTIF('Specific Test Cases'!S68:S193,"Not applicable")</f>
        <v>0</v>
      </c>
      <c r="E27" s="97">
        <f>COUNTIF('Specific Test Cases'!S45:S66,"Not applicable")</f>
        <v>0</v>
      </c>
      <c r="F27" s="97">
        <f>COUNTIF('Specific Test Cases'!S44:S193,"Not applicable")</f>
        <v>0</v>
      </c>
    </row>
    <row r="28" spans="2:7" ht="19.5" customHeight="1" x14ac:dyDescent="0.2">
      <c r="B28" s="102"/>
      <c r="C28" s="100" t="s">
        <v>225</v>
      </c>
      <c r="D28" s="98">
        <f>IF(OR(D27=0,D22=0),0,D27/D22)</f>
        <v>0</v>
      </c>
      <c r="E28" s="98">
        <f t="shared" ref="E28" si="0">IF(OR(E27=0,E22=0),0,E27/E22)</f>
        <v>0</v>
      </c>
      <c r="F28" s="98">
        <f>IF(OR(F27=0,F22=0),0,F27/F22)</f>
        <v>0</v>
      </c>
    </row>
    <row r="29" spans="2:7" ht="12" customHeight="1" x14ac:dyDescent="0.2"/>
    <row r="30" spans="2:7" ht="19.5" hidden="1" customHeight="1" x14ac:dyDescent="0.2"/>
    <row r="33" ht="0" hidden="1" customHeight="1" x14ac:dyDescent="0.2"/>
  </sheetData>
  <mergeCells count="20">
    <mergeCell ref="B13:F13"/>
    <mergeCell ref="B14:F14"/>
    <mergeCell ref="B17:C17"/>
    <mergeCell ref="B18:C18"/>
    <mergeCell ref="C1:G1"/>
    <mergeCell ref="B16:C16"/>
    <mergeCell ref="D19:F19"/>
    <mergeCell ref="B21:C21"/>
    <mergeCell ref="B22:C22"/>
    <mergeCell ref="B7:F7"/>
    <mergeCell ref="B3:F3"/>
    <mergeCell ref="B4:F4"/>
    <mergeCell ref="B5:F5"/>
    <mergeCell ref="B6:F6"/>
    <mergeCell ref="B19:C19"/>
    <mergeCell ref="B8:F8"/>
    <mergeCell ref="B9:F9"/>
    <mergeCell ref="B10:F10"/>
    <mergeCell ref="B11:F11"/>
    <mergeCell ref="B12:F12"/>
  </mergeCells>
  <dataValidations count="1">
    <dataValidation type="list" allowBlank="1" showInputMessage="1" showErrorMessage="1" sqref="B8:F8" xr:uid="{C28B0185-4083-48AE-B65F-AAB3D24093F7}">
      <formula1>"GCPH,EMS,EMOB,HVAC,INV,DOMA"</formula1>
    </dataValidation>
  </dataValidation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C7AC"/>
    <pageSetUpPr fitToPage="1"/>
  </sheetPr>
  <dimension ref="A1:BZ981"/>
  <sheetViews>
    <sheetView zoomScaleNormal="100" workbookViewId="0"/>
  </sheetViews>
  <sheetFormatPr baseColWidth="10" defaultColWidth="14.42578125" defaultRowHeight="15.75" customHeight="1" x14ac:dyDescent="0.2"/>
  <cols>
    <col min="1" max="1" width="3" style="31" customWidth="1"/>
    <col min="2" max="2" width="8.7109375" style="8" customWidth="1"/>
    <col min="3" max="15" width="20.7109375" customWidth="1"/>
    <col min="16" max="17" width="21.7109375" customWidth="1"/>
    <col min="18" max="19" width="20.7109375" customWidth="1"/>
    <col min="20" max="20" width="60.7109375" customWidth="1"/>
    <col min="21" max="21" width="17.7109375" customWidth="1"/>
    <col min="22" max="22" width="60.7109375" customWidth="1"/>
    <col min="23" max="24" width="14.42578125" customWidth="1"/>
  </cols>
  <sheetData>
    <row r="1" spans="1:78" s="3" customFormat="1" ht="45" customHeight="1" x14ac:dyDescent="0.2">
      <c r="C1" s="2"/>
      <c r="D1" s="105" t="s">
        <v>244</v>
      </c>
      <c r="E1" s="105"/>
      <c r="F1" s="105"/>
      <c r="G1" s="105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1:78" s="3" customFormat="1" ht="19.5" customHeight="1" x14ac:dyDescent="0.2">
      <c r="C2" s="2"/>
      <c r="D2" s="15"/>
      <c r="E2" s="15"/>
      <c r="F2" s="15"/>
      <c r="G2" s="15"/>
      <c r="H2" s="2"/>
      <c r="I2" s="15"/>
      <c r="J2" s="15"/>
      <c r="K2" s="15"/>
      <c r="L2" s="9"/>
      <c r="M2" s="9"/>
      <c r="N2" s="2"/>
      <c r="O2" s="2"/>
      <c r="P2" s="2"/>
      <c r="Q2" s="2"/>
      <c r="R2" s="2"/>
      <c r="S2" s="2"/>
      <c r="T2" s="2"/>
    </row>
    <row r="3" spans="1:78" ht="21.75" customHeight="1" x14ac:dyDescent="0.25">
      <c r="A3" s="30"/>
      <c r="B3" s="190" t="s">
        <v>8</v>
      </c>
      <c r="C3" s="191"/>
      <c r="D3" s="145" t="s">
        <v>52</v>
      </c>
      <c r="E3" s="149"/>
      <c r="F3" s="33"/>
      <c r="G3" s="16"/>
      <c r="H3" s="16"/>
      <c r="I3" s="16"/>
      <c r="J3" s="16"/>
      <c r="K3" s="33"/>
      <c r="L3" s="33"/>
      <c r="M3" s="33"/>
      <c r="N3" s="31"/>
      <c r="O3" s="31"/>
      <c r="P3" s="31"/>
      <c r="Q3" s="31"/>
      <c r="R3" s="31"/>
      <c r="S3" s="30"/>
      <c r="T3" s="30"/>
      <c r="U3" s="30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</row>
    <row r="4" spans="1:78" ht="21.75" customHeight="1" x14ac:dyDescent="0.25">
      <c r="A4" s="30"/>
      <c r="B4" s="190" t="s">
        <v>226</v>
      </c>
      <c r="C4" s="191"/>
      <c r="D4" s="145"/>
      <c r="E4" s="149"/>
      <c r="F4" s="33"/>
      <c r="G4" s="16"/>
      <c r="H4" s="16"/>
      <c r="I4" s="16"/>
      <c r="J4" s="16"/>
      <c r="K4" s="33"/>
      <c r="L4" s="33"/>
      <c r="M4" s="33"/>
      <c r="N4" s="31"/>
      <c r="O4" s="31"/>
      <c r="P4" s="31"/>
      <c r="Q4" s="31"/>
      <c r="R4" s="31"/>
      <c r="S4" s="30"/>
      <c r="T4" s="30"/>
      <c r="U4" s="30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</row>
    <row r="5" spans="1:78" ht="21.75" customHeight="1" x14ac:dyDescent="0.25">
      <c r="A5" s="30"/>
      <c r="B5" s="143" t="s">
        <v>207</v>
      </c>
      <c r="C5" s="143"/>
      <c r="D5" s="144"/>
      <c r="E5" s="144"/>
      <c r="F5" s="33"/>
      <c r="G5" s="16"/>
      <c r="H5" s="16"/>
      <c r="I5" s="16"/>
      <c r="J5" s="16"/>
      <c r="K5" s="33"/>
      <c r="L5" s="33"/>
      <c r="M5" s="33"/>
      <c r="N5" s="31"/>
      <c r="O5" s="31"/>
      <c r="P5" s="31"/>
      <c r="Q5" s="31"/>
      <c r="R5" s="31"/>
      <c r="S5" s="30"/>
      <c r="T5" s="30"/>
      <c r="U5" s="30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</row>
    <row r="6" spans="1:78" s="31" customFormat="1" ht="19.5" customHeight="1" x14ac:dyDescent="0.25">
      <c r="A6" s="30"/>
      <c r="B6" s="20"/>
      <c r="C6" s="20"/>
      <c r="D6" s="19"/>
      <c r="E6" s="19"/>
      <c r="F6" s="33"/>
      <c r="G6" s="16"/>
      <c r="H6" s="16"/>
      <c r="I6" s="16"/>
      <c r="J6" s="16"/>
      <c r="K6" s="33"/>
      <c r="L6" s="33"/>
      <c r="M6" s="33"/>
      <c r="S6" s="30"/>
      <c r="T6" s="30"/>
      <c r="U6" s="30"/>
    </row>
    <row r="7" spans="1:78" ht="19.5" customHeight="1" x14ac:dyDescent="0.25">
      <c r="A7" s="30"/>
      <c r="B7" s="150" t="s">
        <v>197</v>
      </c>
      <c r="C7" s="151"/>
      <c r="D7" s="151"/>
      <c r="E7" s="151"/>
      <c r="F7" s="33"/>
      <c r="G7" s="16"/>
      <c r="H7" s="16"/>
      <c r="I7" s="16"/>
      <c r="J7" s="16"/>
      <c r="K7" s="33"/>
      <c r="L7" s="33"/>
      <c r="M7" s="33"/>
      <c r="N7" s="31"/>
      <c r="O7" s="31"/>
      <c r="P7" s="31"/>
      <c r="Q7" s="31"/>
      <c r="R7" s="31"/>
      <c r="S7" s="30"/>
      <c r="T7" s="30"/>
      <c r="U7" s="30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</row>
    <row r="8" spans="1:78" ht="21.75" customHeight="1" x14ac:dyDescent="0.25">
      <c r="A8" s="30"/>
      <c r="B8" s="190" t="s">
        <v>70</v>
      </c>
      <c r="C8" s="191"/>
      <c r="D8" s="145"/>
      <c r="E8" s="149"/>
      <c r="F8" s="33"/>
      <c r="G8" s="16"/>
      <c r="H8" s="16"/>
      <c r="I8" s="16"/>
      <c r="J8" s="16"/>
      <c r="K8" s="33"/>
      <c r="L8" s="33"/>
      <c r="M8" s="33"/>
      <c r="N8" s="31"/>
      <c r="O8" s="31"/>
      <c r="P8" s="31"/>
      <c r="Q8" s="31"/>
      <c r="R8" s="31"/>
      <c r="S8" s="30"/>
      <c r="T8" s="30"/>
      <c r="U8" s="30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</row>
    <row r="9" spans="1:78" ht="21.75" customHeight="1" x14ac:dyDescent="0.25">
      <c r="A9" s="30"/>
      <c r="B9" s="147" t="s">
        <v>71</v>
      </c>
      <c r="C9" s="148"/>
      <c r="D9" s="145"/>
      <c r="E9" s="149"/>
      <c r="F9" s="33"/>
      <c r="G9" s="16"/>
      <c r="H9" s="16"/>
      <c r="I9" s="16"/>
      <c r="J9" s="16"/>
      <c r="K9" s="33"/>
      <c r="L9" s="33"/>
      <c r="M9" s="33"/>
      <c r="N9" s="31"/>
      <c r="O9" s="31"/>
      <c r="P9" s="31"/>
      <c r="Q9" s="31"/>
      <c r="R9" s="31"/>
      <c r="S9" s="30"/>
      <c r="T9" s="30"/>
      <c r="U9" s="30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</row>
    <row r="10" spans="1:78" s="31" customFormat="1" ht="19.5" customHeight="1" x14ac:dyDescent="0.25">
      <c r="A10" s="30"/>
      <c r="B10" s="16"/>
      <c r="C10" s="16"/>
      <c r="D10" s="16"/>
      <c r="E10" s="16"/>
      <c r="F10" s="16"/>
      <c r="G10" s="16"/>
      <c r="H10" s="16"/>
      <c r="J10" s="16"/>
      <c r="K10" s="33"/>
      <c r="L10" s="33"/>
      <c r="M10" s="33"/>
      <c r="S10" s="30"/>
      <c r="T10" s="30"/>
      <c r="U10" s="30"/>
    </row>
    <row r="11" spans="1:78" ht="20.100000000000001" customHeight="1" x14ac:dyDescent="0.25">
      <c r="A11" s="30"/>
      <c r="B11" s="123" t="s">
        <v>155</v>
      </c>
      <c r="C11" s="124"/>
      <c r="D11" s="124"/>
      <c r="E11" s="124"/>
      <c r="F11" s="152" t="s">
        <v>74</v>
      </c>
      <c r="G11" s="158"/>
      <c r="H11" s="153"/>
      <c r="I11" s="16"/>
      <c r="J11" s="16"/>
      <c r="K11" s="33"/>
      <c r="L11" s="33"/>
      <c r="M11" s="33"/>
      <c r="N11" s="31"/>
      <c r="O11" s="31"/>
      <c r="P11" s="31"/>
      <c r="Q11" s="31"/>
      <c r="R11" s="31"/>
      <c r="S11" s="30"/>
      <c r="T11" s="30"/>
      <c r="U11" s="30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</row>
    <row r="12" spans="1:78" ht="21.95" customHeight="1" x14ac:dyDescent="0.25">
      <c r="A12" s="30"/>
      <c r="B12" s="152" t="s">
        <v>156</v>
      </c>
      <c r="C12" s="153"/>
      <c r="D12" s="145">
        <v>-0.1</v>
      </c>
      <c r="E12" s="149"/>
      <c r="F12" s="183" t="s">
        <v>186</v>
      </c>
      <c r="G12" s="184"/>
      <c r="H12" s="185"/>
      <c r="I12" s="25"/>
      <c r="J12" s="25"/>
      <c r="K12" s="33"/>
      <c r="L12" s="33"/>
      <c r="M12" s="33"/>
      <c r="N12" s="31"/>
      <c r="O12" s="31"/>
      <c r="P12" s="31"/>
      <c r="Q12" s="31"/>
      <c r="R12" s="31"/>
      <c r="S12" s="30"/>
      <c r="T12" s="30"/>
      <c r="U12" s="30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</row>
    <row r="13" spans="1:78" ht="21.95" customHeight="1" x14ac:dyDescent="0.25">
      <c r="A13" s="30"/>
      <c r="B13" s="154" t="s">
        <v>157</v>
      </c>
      <c r="C13" s="155"/>
      <c r="D13" s="145">
        <v>0</v>
      </c>
      <c r="E13" s="149"/>
      <c r="F13" s="183" t="s">
        <v>186</v>
      </c>
      <c r="G13" s="184"/>
      <c r="H13" s="185"/>
      <c r="I13" s="25"/>
      <c r="J13" s="25"/>
      <c r="K13" s="33"/>
      <c r="L13" s="33"/>
      <c r="M13" s="33"/>
      <c r="N13" s="31"/>
      <c r="O13" s="31"/>
      <c r="P13" s="31"/>
      <c r="Q13" s="31"/>
      <c r="R13" s="31"/>
      <c r="S13" s="30"/>
      <c r="T13" s="30"/>
      <c r="U13" s="30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</row>
    <row r="14" spans="1:78" ht="21.95" customHeight="1" x14ac:dyDescent="0.25">
      <c r="A14" s="30"/>
      <c r="B14" s="22"/>
      <c r="C14" s="23" t="s">
        <v>73</v>
      </c>
      <c r="D14" s="167">
        <f>0.05*(D13-D12)</f>
        <v>5.000000000000001E-3</v>
      </c>
      <c r="E14" s="168"/>
      <c r="F14" s="183"/>
      <c r="G14" s="184"/>
      <c r="H14" s="185"/>
      <c r="I14" s="24"/>
      <c r="J14" s="16"/>
      <c r="K14" s="33"/>
      <c r="L14" s="33"/>
      <c r="M14" s="33"/>
      <c r="N14" s="31"/>
      <c r="O14" s="31"/>
      <c r="P14" s="31"/>
      <c r="Q14" s="31"/>
      <c r="R14" s="31"/>
      <c r="S14" s="30"/>
      <c r="T14" s="30"/>
      <c r="U14" s="30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</row>
    <row r="15" spans="1:78" ht="21.95" customHeight="1" x14ac:dyDescent="0.25">
      <c r="A15" s="30"/>
      <c r="B15" s="152" t="s">
        <v>158</v>
      </c>
      <c r="C15" s="158"/>
      <c r="D15" s="167">
        <f>IF((D13+D14)&lt;0,D13+D14,0)</f>
        <v>0</v>
      </c>
      <c r="E15" s="168"/>
      <c r="F15" s="183" t="s">
        <v>193</v>
      </c>
      <c r="G15" s="184"/>
      <c r="H15" s="185"/>
      <c r="I15" s="25"/>
      <c r="J15" s="16"/>
      <c r="K15" s="33"/>
      <c r="L15" s="33"/>
      <c r="M15" s="33"/>
      <c r="N15" s="31"/>
      <c r="O15" s="31"/>
      <c r="P15" s="31"/>
      <c r="Q15" s="31"/>
      <c r="R15" s="31"/>
      <c r="S15" s="30"/>
      <c r="T15" s="30"/>
      <c r="U15" s="30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</row>
    <row r="16" spans="1:78" ht="21.95" customHeight="1" x14ac:dyDescent="0.25">
      <c r="A16" s="30"/>
      <c r="B16" s="152" t="s">
        <v>159</v>
      </c>
      <c r="C16" s="158"/>
      <c r="D16" s="167">
        <f>D13-D14</f>
        <v>-5.000000000000001E-3</v>
      </c>
      <c r="E16" s="168"/>
      <c r="F16" s="183" t="s">
        <v>193</v>
      </c>
      <c r="G16" s="184"/>
      <c r="H16" s="185"/>
      <c r="I16" s="25"/>
      <c r="J16" s="16"/>
      <c r="K16" s="33"/>
      <c r="L16" s="33"/>
      <c r="M16" s="33"/>
      <c r="N16" s="31"/>
      <c r="O16" s="31"/>
      <c r="P16" s="31"/>
      <c r="Q16" s="31"/>
      <c r="R16" s="31"/>
      <c r="S16" s="30"/>
      <c r="T16" s="30"/>
      <c r="U16" s="30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</row>
    <row r="17" spans="1:78" ht="21.95" customHeight="1" x14ac:dyDescent="0.25">
      <c r="A17" s="30"/>
      <c r="B17" s="152" t="s">
        <v>160</v>
      </c>
      <c r="C17" s="158"/>
      <c r="D17" s="169"/>
      <c r="E17" s="149"/>
      <c r="F17" s="183" t="s">
        <v>193</v>
      </c>
      <c r="G17" s="184"/>
      <c r="H17" s="185"/>
      <c r="I17" s="25"/>
      <c r="J17" s="16"/>
      <c r="K17" s="33"/>
      <c r="L17" s="33"/>
      <c r="M17" s="33"/>
      <c r="N17" s="31"/>
      <c r="O17" s="31"/>
      <c r="P17" s="31"/>
      <c r="Q17" s="31"/>
      <c r="R17" s="31"/>
      <c r="S17" s="30"/>
      <c r="T17" s="30"/>
      <c r="U17" s="30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</row>
    <row r="18" spans="1:78" ht="21.95" customHeight="1" x14ac:dyDescent="0.25">
      <c r="A18" s="30"/>
      <c r="B18" s="152" t="s">
        <v>161</v>
      </c>
      <c r="C18" s="158"/>
      <c r="D18" s="167">
        <f>D12+D14</f>
        <v>-9.5000000000000001E-2</v>
      </c>
      <c r="E18" s="168"/>
      <c r="F18" s="183" t="s">
        <v>193</v>
      </c>
      <c r="G18" s="184"/>
      <c r="H18" s="185"/>
      <c r="I18" s="25"/>
      <c r="J18" s="16"/>
      <c r="K18" s="33"/>
      <c r="L18" s="33"/>
      <c r="M18" s="33"/>
      <c r="N18" s="31"/>
      <c r="O18" s="31"/>
      <c r="P18" s="31"/>
      <c r="Q18" s="31"/>
      <c r="R18" s="31"/>
      <c r="S18" s="30"/>
      <c r="T18" s="30"/>
      <c r="U18" s="30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</row>
    <row r="19" spans="1:78" ht="21.95" customHeight="1" x14ac:dyDescent="0.25">
      <c r="A19" s="30"/>
      <c r="B19" s="152" t="s">
        <v>162</v>
      </c>
      <c r="C19" s="158"/>
      <c r="D19" s="167">
        <f>D12-D14</f>
        <v>-0.10500000000000001</v>
      </c>
      <c r="E19" s="168"/>
      <c r="F19" s="183" t="s">
        <v>193</v>
      </c>
      <c r="G19" s="184"/>
      <c r="H19" s="185"/>
      <c r="I19" s="25"/>
      <c r="J19" s="16"/>
      <c r="K19" s="33"/>
      <c r="L19" s="33"/>
      <c r="M19" s="33"/>
      <c r="N19" s="31"/>
      <c r="O19" s="31"/>
      <c r="P19" s="31"/>
      <c r="Q19" s="31"/>
      <c r="R19" s="31"/>
      <c r="S19" s="30"/>
      <c r="T19" s="30"/>
      <c r="U19" s="30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</row>
    <row r="20" spans="1:78" ht="21.95" customHeight="1" x14ac:dyDescent="0.25">
      <c r="A20" s="30"/>
      <c r="B20" s="152" t="s">
        <v>163</v>
      </c>
      <c r="C20" s="158"/>
      <c r="D20" s="167">
        <v>1000</v>
      </c>
      <c r="E20" s="168"/>
      <c r="F20" s="48"/>
      <c r="G20" s="49"/>
      <c r="H20" s="50"/>
      <c r="I20" s="16"/>
      <c r="J20" s="25"/>
      <c r="K20" s="33"/>
      <c r="L20" s="33"/>
      <c r="M20" s="33"/>
      <c r="N20" s="31"/>
      <c r="O20" s="31"/>
      <c r="P20" s="31"/>
      <c r="Q20" s="31"/>
      <c r="R20" s="31"/>
      <c r="S20" s="30"/>
      <c r="T20" s="30"/>
      <c r="U20" s="30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</row>
    <row r="21" spans="1:78" ht="20.100000000000001" customHeight="1" x14ac:dyDescent="0.25">
      <c r="A21" s="30"/>
      <c r="B21" s="162" t="s">
        <v>154</v>
      </c>
      <c r="C21" s="163"/>
      <c r="D21" s="163"/>
      <c r="E21" s="164"/>
      <c r="F21" s="180" t="s">
        <v>74</v>
      </c>
      <c r="G21" s="181"/>
      <c r="H21" s="182"/>
      <c r="I21" s="16"/>
      <c r="J21" s="16"/>
      <c r="K21" s="33"/>
      <c r="L21" s="33"/>
      <c r="M21" s="33"/>
      <c r="N21" s="31"/>
      <c r="O21" s="31"/>
      <c r="P21" s="31"/>
      <c r="Q21" s="31"/>
      <c r="R21" s="31"/>
      <c r="S21" s="30"/>
      <c r="T21" s="30"/>
      <c r="U21" s="30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</row>
    <row r="22" spans="1:78" ht="21.95" customHeight="1" x14ac:dyDescent="0.25">
      <c r="A22" s="30"/>
      <c r="B22" s="156" t="s">
        <v>151</v>
      </c>
      <c r="C22" s="157"/>
      <c r="D22" s="145"/>
      <c r="E22" s="149"/>
      <c r="F22" s="183" t="s">
        <v>139</v>
      </c>
      <c r="G22" s="184"/>
      <c r="H22" s="185"/>
      <c r="I22" s="16"/>
      <c r="J22" s="16"/>
      <c r="K22" s="33"/>
      <c r="L22" s="33"/>
      <c r="M22" s="33"/>
      <c r="N22" s="31"/>
      <c r="O22" s="31"/>
      <c r="P22" s="31"/>
      <c r="Q22" s="31"/>
      <c r="R22" s="31"/>
      <c r="S22" s="30"/>
      <c r="T22" s="30"/>
      <c r="U22" s="30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</row>
    <row r="23" spans="1:78" ht="21.95" customHeight="1" x14ac:dyDescent="0.25">
      <c r="A23" s="30"/>
      <c r="B23" s="156" t="s">
        <v>152</v>
      </c>
      <c r="C23" s="157"/>
      <c r="D23" s="145">
        <v>0</v>
      </c>
      <c r="E23" s="149"/>
      <c r="F23" s="183" t="s">
        <v>140</v>
      </c>
      <c r="G23" s="184"/>
      <c r="H23" s="185"/>
      <c r="I23" s="16"/>
      <c r="J23" s="16"/>
      <c r="K23" s="33"/>
      <c r="L23" s="33"/>
      <c r="M23" s="33"/>
      <c r="N23" s="31"/>
      <c r="O23" s="31"/>
      <c r="P23" s="31"/>
      <c r="Q23" s="31"/>
      <c r="R23" s="31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</row>
    <row r="24" spans="1:78" ht="21.95" customHeight="1" x14ac:dyDescent="0.25">
      <c r="A24" s="30"/>
      <c r="B24" s="156" t="s">
        <v>153</v>
      </c>
      <c r="C24" s="157"/>
      <c r="D24" s="145">
        <v>0.1</v>
      </c>
      <c r="E24" s="146"/>
      <c r="F24" s="183" t="s">
        <v>140</v>
      </c>
      <c r="G24" s="184"/>
      <c r="H24" s="185"/>
      <c r="I24" s="24"/>
      <c r="J24" s="16"/>
      <c r="K24" s="33"/>
      <c r="L24" s="33"/>
      <c r="M24" s="33"/>
      <c r="N24" s="31"/>
      <c r="O24" s="31"/>
      <c r="P24" s="31"/>
      <c r="Q24" s="31"/>
      <c r="R24" s="31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</row>
    <row r="25" spans="1:78" ht="21.95" customHeight="1" x14ac:dyDescent="0.25">
      <c r="A25" s="30"/>
      <c r="B25" s="21"/>
      <c r="C25" s="21" t="s">
        <v>73</v>
      </c>
      <c r="D25" s="167">
        <f>0.05*(D24-D23)</f>
        <v>5.000000000000001E-3</v>
      </c>
      <c r="E25" s="168"/>
      <c r="F25" s="183"/>
      <c r="G25" s="184"/>
      <c r="H25" s="185"/>
      <c r="I25" s="24"/>
      <c r="J25" s="16"/>
      <c r="K25" s="33"/>
      <c r="L25" s="33"/>
      <c r="M25" s="33"/>
      <c r="N25" s="31"/>
      <c r="O25" s="31"/>
      <c r="P25" s="31"/>
      <c r="Q25" s="31"/>
      <c r="R25" s="31"/>
      <c r="S25" s="30"/>
      <c r="T25" s="30"/>
      <c r="U25" s="30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</row>
    <row r="26" spans="1:78" ht="21.95" customHeight="1" x14ac:dyDescent="0.25">
      <c r="A26" s="30"/>
      <c r="B26" s="156" t="s">
        <v>145</v>
      </c>
      <c r="C26" s="156"/>
      <c r="D26" s="167">
        <f>IF((D23-D25)&gt;0,D23-D25,0)</f>
        <v>0</v>
      </c>
      <c r="E26" s="168"/>
      <c r="F26" s="183" t="s">
        <v>141</v>
      </c>
      <c r="G26" s="184"/>
      <c r="H26" s="185"/>
      <c r="I26" s="16"/>
      <c r="J26" s="16"/>
      <c r="K26" s="33"/>
      <c r="L26" s="33"/>
      <c r="M26" s="33"/>
      <c r="N26" s="31"/>
      <c r="O26" s="31"/>
      <c r="P26" s="31"/>
      <c r="Q26" s="31"/>
      <c r="R26" s="31"/>
      <c r="S26" s="30"/>
      <c r="T26" s="30"/>
      <c r="U26" s="30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</row>
    <row r="27" spans="1:78" ht="21.95" customHeight="1" x14ac:dyDescent="0.25">
      <c r="A27" s="30"/>
      <c r="B27" s="156" t="s">
        <v>146</v>
      </c>
      <c r="C27" s="156"/>
      <c r="D27" s="167">
        <f>D23+D25</f>
        <v>5.000000000000001E-3</v>
      </c>
      <c r="E27" s="168"/>
      <c r="F27" s="183" t="s">
        <v>141</v>
      </c>
      <c r="G27" s="184"/>
      <c r="H27" s="185"/>
      <c r="I27" s="16"/>
      <c r="J27" s="16"/>
      <c r="K27" s="33"/>
      <c r="L27" s="33"/>
      <c r="M27" s="33"/>
      <c r="N27" s="31"/>
      <c r="O27" s="31"/>
      <c r="P27" s="31"/>
      <c r="Q27" s="31"/>
      <c r="R27" s="31"/>
      <c r="S27" s="30"/>
      <c r="T27" s="30"/>
      <c r="U27" s="30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</row>
    <row r="28" spans="1:78" ht="21.95" customHeight="1" x14ac:dyDescent="0.25">
      <c r="A28" s="30"/>
      <c r="B28" s="156" t="s">
        <v>147</v>
      </c>
      <c r="C28" s="156"/>
      <c r="D28" s="169"/>
      <c r="E28" s="149"/>
      <c r="F28" s="183" t="s">
        <v>141</v>
      </c>
      <c r="G28" s="184"/>
      <c r="H28" s="185"/>
      <c r="I28" s="16"/>
      <c r="J28" s="16"/>
      <c r="K28" s="33"/>
      <c r="L28" s="33"/>
      <c r="M28" s="33"/>
      <c r="N28" s="31"/>
      <c r="O28" s="31"/>
      <c r="P28" s="31"/>
      <c r="Q28" s="31"/>
      <c r="R28" s="31"/>
      <c r="S28" s="30"/>
      <c r="T28" s="30"/>
      <c r="U28" s="30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</row>
    <row r="29" spans="1:78" ht="21.95" customHeight="1" x14ac:dyDescent="0.25">
      <c r="A29" s="30"/>
      <c r="B29" s="156" t="s">
        <v>148</v>
      </c>
      <c r="C29" s="156"/>
      <c r="D29" s="167">
        <f>D24-D25</f>
        <v>9.5000000000000001E-2</v>
      </c>
      <c r="E29" s="168"/>
      <c r="F29" s="183" t="s">
        <v>141</v>
      </c>
      <c r="G29" s="184"/>
      <c r="H29" s="185"/>
      <c r="I29" s="16"/>
      <c r="J29" s="16"/>
      <c r="K29" s="33"/>
      <c r="L29" s="33"/>
      <c r="M29" s="33"/>
      <c r="N29" s="31"/>
      <c r="O29" s="31"/>
      <c r="P29" s="31"/>
      <c r="Q29" s="31"/>
      <c r="R29" s="31"/>
      <c r="S29" s="30"/>
      <c r="T29" s="30"/>
      <c r="U29" s="30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</row>
    <row r="30" spans="1:78" ht="21.95" customHeight="1" x14ac:dyDescent="0.25">
      <c r="A30" s="30"/>
      <c r="B30" s="156" t="s">
        <v>149</v>
      </c>
      <c r="C30" s="156"/>
      <c r="D30" s="167">
        <f>D24+D25</f>
        <v>0.10500000000000001</v>
      </c>
      <c r="E30" s="168"/>
      <c r="F30" s="183" t="s">
        <v>141</v>
      </c>
      <c r="G30" s="184"/>
      <c r="H30" s="185"/>
      <c r="I30" s="16"/>
      <c r="J30" s="16"/>
      <c r="K30" s="33"/>
      <c r="L30" s="33"/>
      <c r="M30" s="33"/>
      <c r="N30" s="31"/>
      <c r="O30" s="31"/>
      <c r="P30" s="31"/>
      <c r="Q30" s="31"/>
      <c r="R30" s="31"/>
      <c r="S30" s="30"/>
      <c r="T30" s="30"/>
      <c r="U30" s="30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</row>
    <row r="31" spans="1:78" ht="21.95" customHeight="1" x14ac:dyDescent="0.25">
      <c r="A31" s="30"/>
      <c r="B31" s="156" t="s">
        <v>150</v>
      </c>
      <c r="C31" s="156"/>
      <c r="D31" s="167">
        <v>-1000</v>
      </c>
      <c r="E31" s="168"/>
      <c r="F31" s="183"/>
      <c r="G31" s="184"/>
      <c r="H31" s="185"/>
      <c r="I31" s="16"/>
      <c r="J31" s="16"/>
      <c r="K31" s="33"/>
      <c r="L31" s="33"/>
      <c r="M31" s="33"/>
      <c r="N31" s="31"/>
      <c r="O31" s="31"/>
      <c r="P31" s="31"/>
      <c r="Q31" s="31"/>
      <c r="R31" s="31"/>
      <c r="S31" s="30"/>
      <c r="T31" s="30"/>
      <c r="U31" s="30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</row>
    <row r="32" spans="1:78" ht="20.100000000000001" customHeight="1" x14ac:dyDescent="0.25">
      <c r="A32" s="30"/>
      <c r="B32" s="162" t="s">
        <v>200</v>
      </c>
      <c r="C32" s="163"/>
      <c r="D32" s="163"/>
      <c r="E32" s="164"/>
      <c r="F32" s="180" t="s">
        <v>74</v>
      </c>
      <c r="G32" s="181"/>
      <c r="H32" s="182"/>
      <c r="I32" s="16"/>
      <c r="J32" s="16"/>
      <c r="K32" s="33"/>
      <c r="L32" s="33"/>
      <c r="M32" s="33"/>
      <c r="N32" s="31"/>
      <c r="O32" s="31"/>
      <c r="P32" s="31"/>
      <c r="Q32" s="31"/>
      <c r="R32" s="31"/>
      <c r="S32" s="30"/>
      <c r="T32" s="30"/>
      <c r="U32" s="30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</row>
    <row r="33" spans="1:78" ht="21.95" customHeight="1" x14ac:dyDescent="0.25">
      <c r="A33" s="30"/>
      <c r="B33" s="156" t="s">
        <v>9</v>
      </c>
      <c r="C33" s="157"/>
      <c r="D33" s="170"/>
      <c r="E33" s="171"/>
      <c r="F33" s="183" t="s">
        <v>234</v>
      </c>
      <c r="G33" s="184"/>
      <c r="H33" s="185"/>
      <c r="I33" s="16"/>
      <c r="J33" s="16"/>
      <c r="K33" s="33"/>
      <c r="L33" s="33"/>
      <c r="M33" s="33"/>
      <c r="N33" s="31"/>
      <c r="O33" s="31"/>
      <c r="P33" s="31"/>
      <c r="Q33" s="31"/>
      <c r="R33" s="31"/>
      <c r="S33" s="30"/>
      <c r="T33" s="30"/>
      <c r="U33" s="30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</row>
    <row r="34" spans="1:78" ht="21.95" customHeight="1" x14ac:dyDescent="0.25">
      <c r="A34" s="30"/>
      <c r="B34" s="156" t="s">
        <v>10</v>
      </c>
      <c r="C34" s="157"/>
      <c r="D34" s="170"/>
      <c r="E34" s="171"/>
      <c r="F34" s="183" t="s">
        <v>234</v>
      </c>
      <c r="G34" s="184"/>
      <c r="H34" s="185"/>
      <c r="I34" s="16"/>
      <c r="J34" s="16"/>
      <c r="K34" s="33"/>
      <c r="L34" s="33"/>
      <c r="M34" s="33"/>
      <c r="N34" s="31"/>
      <c r="O34" s="31"/>
      <c r="P34" s="31"/>
      <c r="Q34" s="31"/>
      <c r="R34" s="31"/>
      <c r="S34" s="30"/>
      <c r="T34" s="30"/>
      <c r="U34" s="30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</row>
    <row r="35" spans="1:78" ht="21.95" customHeight="1" x14ac:dyDescent="0.25">
      <c r="A35" s="30"/>
      <c r="B35" s="156" t="s">
        <v>142</v>
      </c>
      <c r="C35" s="157"/>
      <c r="D35" s="172">
        <v>6840</v>
      </c>
      <c r="E35" s="173"/>
      <c r="F35" s="183"/>
      <c r="G35" s="184"/>
      <c r="H35" s="185"/>
      <c r="I35" s="16"/>
      <c r="J35" s="16"/>
      <c r="K35" s="33"/>
      <c r="L35" s="33"/>
      <c r="M35" s="33"/>
      <c r="N35" s="31"/>
      <c r="O35" s="31"/>
      <c r="P35" s="31"/>
      <c r="Q35" s="31"/>
      <c r="R35" s="31"/>
      <c r="S35" s="30"/>
      <c r="T35" s="30"/>
      <c r="U35" s="30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</row>
    <row r="36" spans="1:78" ht="30" customHeight="1" x14ac:dyDescent="0.25">
      <c r="A36" s="30"/>
      <c r="B36" s="156" t="s">
        <v>143</v>
      </c>
      <c r="C36" s="157"/>
      <c r="D36" s="170"/>
      <c r="E36" s="171"/>
      <c r="F36" s="186" t="s">
        <v>236</v>
      </c>
      <c r="G36" s="184"/>
      <c r="H36" s="185"/>
      <c r="I36" s="16" t="s">
        <v>235</v>
      </c>
      <c r="J36" s="16"/>
      <c r="K36" s="33"/>
      <c r="L36" s="33"/>
      <c r="M36" s="33"/>
      <c r="N36" s="31"/>
      <c r="O36" s="31"/>
      <c r="P36" s="31"/>
      <c r="Q36" s="31"/>
      <c r="R36" s="31"/>
      <c r="S36" s="30"/>
      <c r="T36" s="30"/>
      <c r="U36" s="30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</row>
    <row r="37" spans="1:78" ht="21.95" customHeight="1" x14ac:dyDescent="0.25">
      <c r="A37" s="30"/>
      <c r="B37" s="156" t="s">
        <v>144</v>
      </c>
      <c r="C37" s="157"/>
      <c r="D37" s="172">
        <f>1.05*D33</f>
        <v>0</v>
      </c>
      <c r="E37" s="173"/>
      <c r="F37" s="183" t="s">
        <v>72</v>
      </c>
      <c r="G37" s="184"/>
      <c r="H37" s="185"/>
      <c r="I37" s="16"/>
      <c r="J37" s="16"/>
      <c r="K37" s="33"/>
      <c r="L37" s="33"/>
      <c r="M37" s="33"/>
      <c r="N37" s="31"/>
      <c r="O37" s="31"/>
      <c r="P37" s="31"/>
      <c r="Q37" s="31"/>
      <c r="R37" s="31"/>
      <c r="S37" s="30"/>
      <c r="T37" s="30"/>
      <c r="U37" s="30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</row>
    <row r="38" spans="1:78" ht="21.95" customHeight="1" x14ac:dyDescent="0.25">
      <c r="A38" s="30"/>
      <c r="B38" s="187" t="s">
        <v>182</v>
      </c>
      <c r="C38" s="188"/>
      <c r="D38" s="188"/>
      <c r="E38" s="189"/>
      <c r="F38" s="180" t="s">
        <v>74</v>
      </c>
      <c r="G38" s="181"/>
      <c r="H38" s="182"/>
      <c r="I38" s="16"/>
      <c r="J38" s="16"/>
      <c r="K38" s="33"/>
      <c r="L38" s="33"/>
      <c r="M38" s="33"/>
      <c r="N38" s="31"/>
      <c r="O38" s="31"/>
      <c r="P38" s="31"/>
      <c r="Q38" s="31"/>
      <c r="R38" s="31"/>
      <c r="S38" s="30"/>
      <c r="T38" s="30"/>
      <c r="U38" s="30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</row>
    <row r="39" spans="1:78" ht="21.95" customHeight="1" x14ac:dyDescent="0.25">
      <c r="A39" s="30"/>
      <c r="B39" s="156" t="s">
        <v>75</v>
      </c>
      <c r="C39" s="157"/>
      <c r="D39" s="145"/>
      <c r="E39" s="149"/>
      <c r="F39" s="183" t="s">
        <v>188</v>
      </c>
      <c r="G39" s="184"/>
      <c r="H39" s="185"/>
      <c r="I39" s="16"/>
      <c r="J39" s="16"/>
      <c r="K39" s="33"/>
      <c r="L39" s="33"/>
      <c r="M39" s="33"/>
      <c r="N39" s="31"/>
      <c r="O39" s="31"/>
      <c r="P39" s="31"/>
      <c r="Q39" s="31"/>
      <c r="R39" s="31"/>
      <c r="S39" s="30"/>
      <c r="T39" s="30"/>
      <c r="U39" s="30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</row>
    <row r="40" spans="1:78" ht="21.95" customHeight="1" x14ac:dyDescent="0.25">
      <c r="A40" s="30"/>
      <c r="B40" s="187" t="s">
        <v>183</v>
      </c>
      <c r="C40" s="188"/>
      <c r="D40" s="188"/>
      <c r="E40" s="189"/>
      <c r="F40" s="180" t="s">
        <v>74</v>
      </c>
      <c r="G40" s="181"/>
      <c r="H40" s="182"/>
      <c r="I40" s="16"/>
      <c r="J40" s="16"/>
      <c r="K40" s="33"/>
      <c r="L40" s="33"/>
      <c r="M40" s="33"/>
      <c r="N40" s="31"/>
      <c r="O40" s="31"/>
      <c r="P40" s="31"/>
      <c r="Q40" s="31"/>
      <c r="R40" s="31"/>
      <c r="S40" s="30"/>
      <c r="T40" s="30"/>
      <c r="U40" s="30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</row>
    <row r="41" spans="1:78" ht="21.95" customHeight="1" x14ac:dyDescent="0.25">
      <c r="A41" s="30"/>
      <c r="B41" s="156" t="s">
        <v>75</v>
      </c>
      <c r="C41" s="157"/>
      <c r="D41" s="145"/>
      <c r="E41" s="149"/>
      <c r="F41" s="183" t="s">
        <v>189</v>
      </c>
      <c r="G41" s="184"/>
      <c r="H41" s="185"/>
      <c r="I41" s="16"/>
      <c r="J41" s="16"/>
      <c r="K41" s="33"/>
      <c r="L41" s="33"/>
      <c r="M41" s="33"/>
      <c r="N41" s="31"/>
      <c r="O41" s="31"/>
      <c r="P41" s="31"/>
      <c r="Q41" s="31"/>
      <c r="R41" s="31"/>
      <c r="S41" s="30"/>
      <c r="T41" s="30"/>
      <c r="U41" s="30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</row>
    <row r="42" spans="1:78" s="31" customFormat="1" ht="19.5" customHeight="1" x14ac:dyDescent="0.25">
      <c r="A42" s="30"/>
      <c r="B42" s="36"/>
      <c r="C42" s="16"/>
      <c r="D42" s="16"/>
      <c r="E42" s="16"/>
      <c r="F42" s="25"/>
      <c r="G42" s="16"/>
      <c r="H42" s="16"/>
      <c r="I42" s="16"/>
      <c r="J42" s="16"/>
      <c r="K42" s="33"/>
      <c r="L42" s="33"/>
      <c r="M42" s="33"/>
      <c r="S42" s="30"/>
      <c r="T42" s="30"/>
      <c r="U42" s="30"/>
    </row>
    <row r="43" spans="1:78" s="82" customFormat="1" ht="39" customHeight="1" x14ac:dyDescent="0.2">
      <c r="A43" s="34"/>
      <c r="B43" s="4" t="s">
        <v>5</v>
      </c>
      <c r="C43" s="6" t="s">
        <v>4</v>
      </c>
      <c r="D43" s="11" t="s">
        <v>181</v>
      </c>
      <c r="E43" s="154" t="s">
        <v>192</v>
      </c>
      <c r="F43" s="155"/>
      <c r="G43" s="11" t="s">
        <v>7</v>
      </c>
      <c r="H43" s="154" t="s">
        <v>198</v>
      </c>
      <c r="I43" s="155"/>
      <c r="J43" s="11" t="s">
        <v>190</v>
      </c>
      <c r="K43" s="165" t="s">
        <v>191</v>
      </c>
      <c r="L43" s="166"/>
      <c r="M43" s="11" t="s">
        <v>46</v>
      </c>
      <c r="N43" s="165" t="s">
        <v>199</v>
      </c>
      <c r="O43" s="166"/>
      <c r="P43" s="69" t="s">
        <v>182</v>
      </c>
      <c r="Q43" s="26" t="s">
        <v>183</v>
      </c>
      <c r="R43" s="11" t="s">
        <v>197</v>
      </c>
      <c r="S43" s="5" t="s">
        <v>11</v>
      </c>
      <c r="T43" s="5" t="s">
        <v>3</v>
      </c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</row>
    <row r="44" spans="1:78" s="80" customFormat="1" ht="22.15" customHeight="1" x14ac:dyDescent="0.2">
      <c r="A44" s="83"/>
      <c r="B44" s="159" t="s">
        <v>54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1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</row>
    <row r="45" spans="1:78" s="78" customFormat="1" ht="22.15" customHeight="1" x14ac:dyDescent="0.2">
      <c r="A45" s="84"/>
      <c r="B45" s="59">
        <v>1</v>
      </c>
      <c r="C45" s="85"/>
      <c r="D45" s="59"/>
      <c r="E45" s="52"/>
      <c r="F45" s="52"/>
      <c r="G45" s="52"/>
      <c r="H45" s="52"/>
      <c r="I45" s="52"/>
      <c r="J45" s="52"/>
      <c r="K45" s="52"/>
      <c r="L45" s="52"/>
      <c r="M45" s="54"/>
      <c r="N45" s="54"/>
      <c r="O45" s="53"/>
      <c r="P45" s="53"/>
      <c r="Q45" s="53"/>
      <c r="R45" s="54"/>
      <c r="S45" s="12"/>
      <c r="T45" s="71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</row>
    <row r="46" spans="1:78" s="80" customFormat="1" ht="22.15" customHeight="1" x14ac:dyDescent="0.2">
      <c r="A46" s="83"/>
      <c r="B46" s="159" t="s">
        <v>55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1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</row>
    <row r="47" spans="1:78" s="78" customFormat="1" ht="22.15" customHeight="1" x14ac:dyDescent="0.2">
      <c r="A47" s="84"/>
      <c r="B47" s="59">
        <v>1</v>
      </c>
      <c r="C47" s="85"/>
      <c r="D47" s="59"/>
      <c r="E47" s="52"/>
      <c r="F47" s="52"/>
      <c r="G47" s="52"/>
      <c r="H47" s="52"/>
      <c r="I47" s="52"/>
      <c r="J47" s="52"/>
      <c r="K47" s="52"/>
      <c r="L47" s="52"/>
      <c r="M47" s="54"/>
      <c r="N47" s="54"/>
      <c r="O47" s="53"/>
      <c r="P47" s="53"/>
      <c r="Q47" s="53"/>
      <c r="R47" s="54"/>
      <c r="S47" s="12"/>
      <c r="T47" s="74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</row>
    <row r="48" spans="1:78" s="80" customFormat="1" ht="22.15" customHeight="1" x14ac:dyDescent="0.2">
      <c r="A48" s="83"/>
      <c r="B48" s="159" t="s">
        <v>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1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</row>
    <row r="49" spans="1:78" s="78" customFormat="1" ht="22.15" customHeight="1" x14ac:dyDescent="0.2">
      <c r="A49" s="84"/>
      <c r="B49" s="59">
        <v>1</v>
      </c>
      <c r="C49" s="85"/>
      <c r="D49" s="59"/>
      <c r="E49" s="52"/>
      <c r="F49" s="52"/>
      <c r="G49" s="52"/>
      <c r="H49" s="52"/>
      <c r="I49" s="52"/>
      <c r="J49" s="52"/>
      <c r="K49" s="52"/>
      <c r="L49" s="52"/>
      <c r="M49" s="54"/>
      <c r="N49" s="54"/>
      <c r="O49" s="53"/>
      <c r="P49" s="53"/>
      <c r="Q49" s="53"/>
      <c r="R49" s="54"/>
      <c r="S49" s="12"/>
      <c r="T49" s="74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</row>
    <row r="50" spans="1:78" s="80" customFormat="1" ht="22.15" customHeight="1" x14ac:dyDescent="0.2">
      <c r="A50" s="83"/>
      <c r="B50" s="159" t="s">
        <v>57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1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</row>
    <row r="51" spans="1:78" s="78" customFormat="1" ht="22.15" customHeight="1" x14ac:dyDescent="0.2">
      <c r="A51" s="84"/>
      <c r="B51" s="59">
        <v>1</v>
      </c>
      <c r="C51" s="85"/>
      <c r="D51" s="59"/>
      <c r="E51" s="52"/>
      <c r="F51" s="52"/>
      <c r="G51" s="52"/>
      <c r="H51" s="52"/>
      <c r="I51" s="52"/>
      <c r="J51" s="52"/>
      <c r="K51" s="52"/>
      <c r="L51" s="52"/>
      <c r="M51" s="54"/>
      <c r="N51" s="54"/>
      <c r="O51" s="53"/>
      <c r="P51" s="53"/>
      <c r="Q51" s="53"/>
      <c r="R51" s="54" t="str">
        <f>IF(D8="","",D8)</f>
        <v/>
      </c>
      <c r="S51" s="12"/>
      <c r="T51" s="74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</row>
    <row r="52" spans="1:78" s="80" customFormat="1" ht="22.15" customHeight="1" x14ac:dyDescent="0.2">
      <c r="A52" s="83"/>
      <c r="B52" s="159" t="s">
        <v>12</v>
      </c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1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</row>
    <row r="53" spans="1:78" s="78" customFormat="1" ht="22.15" customHeight="1" x14ac:dyDescent="0.2">
      <c r="A53" s="84"/>
      <c r="B53" s="59">
        <v>1</v>
      </c>
      <c r="C53" s="85"/>
      <c r="D53" s="59">
        <v>1</v>
      </c>
      <c r="E53" s="52" t="str">
        <f>IF(B16="","",B16)</f>
        <v>APPL_02</v>
      </c>
      <c r="F53" s="52">
        <f>IF(D16="","",D16)</f>
        <v>-5.000000000000001E-3</v>
      </c>
      <c r="G53" s="52" t="s">
        <v>13</v>
      </c>
      <c r="H53" s="52"/>
      <c r="I53" s="52"/>
      <c r="J53" s="52"/>
      <c r="K53" s="52"/>
      <c r="L53" s="52"/>
      <c r="M53" s="54"/>
      <c r="N53" s="54"/>
      <c r="O53" s="53"/>
      <c r="P53" s="53"/>
      <c r="Q53" s="53"/>
      <c r="R53" s="54"/>
      <c r="S53" s="12"/>
      <c r="T53" s="74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</row>
    <row r="54" spans="1:78" s="78" customFormat="1" ht="22.15" customHeight="1" x14ac:dyDescent="0.2">
      <c r="A54" s="84"/>
      <c r="B54" s="59">
        <v>2</v>
      </c>
      <c r="C54" s="85"/>
      <c r="D54" s="59">
        <v>1</v>
      </c>
      <c r="E54" s="52" t="str">
        <f>IF(B17="","",B17)</f>
        <v>APPL_03</v>
      </c>
      <c r="F54" s="52" t="str">
        <f>IF(D17="","",D17)</f>
        <v/>
      </c>
      <c r="G54" s="52" t="s">
        <v>13</v>
      </c>
      <c r="H54" s="52"/>
      <c r="I54" s="52"/>
      <c r="J54" s="52"/>
      <c r="K54" s="52"/>
      <c r="L54" s="52"/>
      <c r="M54" s="54"/>
      <c r="N54" s="54"/>
      <c r="O54" s="53"/>
      <c r="P54" s="53"/>
      <c r="Q54" s="53"/>
      <c r="R54" s="54"/>
      <c r="S54" s="12"/>
      <c r="T54" s="74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</row>
    <row r="55" spans="1:78" s="78" customFormat="1" ht="22.15" customHeight="1" x14ac:dyDescent="0.2">
      <c r="A55" s="84"/>
      <c r="B55" s="59">
        <v>3</v>
      </c>
      <c r="C55" s="86"/>
      <c r="D55" s="87">
        <v>1</v>
      </c>
      <c r="E55" s="52" t="str">
        <f>IF(B18="","",B18)</f>
        <v>APPL_04</v>
      </c>
      <c r="F55" s="52">
        <f>IF(D18="","",D18)</f>
        <v>-9.5000000000000001E-2</v>
      </c>
      <c r="G55" s="52" t="s">
        <v>13</v>
      </c>
      <c r="H55" s="52"/>
      <c r="I55" s="52"/>
      <c r="J55" s="52"/>
      <c r="K55" s="52"/>
      <c r="L55" s="52"/>
      <c r="M55" s="54"/>
      <c r="N55" s="54"/>
      <c r="O55" s="54"/>
      <c r="P55" s="54"/>
      <c r="Q55" s="54"/>
      <c r="R55" s="54"/>
      <c r="S55" s="12"/>
      <c r="T55" s="74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</row>
    <row r="56" spans="1:78" s="80" customFormat="1" ht="22.15" customHeight="1" x14ac:dyDescent="0.2">
      <c r="A56" s="83"/>
      <c r="B56" s="159" t="s">
        <v>14</v>
      </c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1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</row>
    <row r="57" spans="1:78" s="78" customFormat="1" ht="22.15" customHeight="1" x14ac:dyDescent="0.2">
      <c r="A57" s="84"/>
      <c r="B57" s="88" t="s">
        <v>47</v>
      </c>
      <c r="C57" s="85"/>
      <c r="D57" s="59">
        <v>3</v>
      </c>
      <c r="E57" s="52" t="str">
        <f>IF(B16="","",B16)</f>
        <v>APPL_02</v>
      </c>
      <c r="F57" s="52">
        <f>IF(D16="","",D16)</f>
        <v>-5.000000000000001E-3</v>
      </c>
      <c r="G57" s="52" t="s">
        <v>13</v>
      </c>
      <c r="H57" s="52"/>
      <c r="I57" s="52"/>
      <c r="J57" s="52"/>
      <c r="K57" s="52"/>
      <c r="L57" s="52"/>
      <c r="M57" s="54"/>
      <c r="N57" s="54"/>
      <c r="O57" s="58"/>
      <c r="P57" s="58"/>
      <c r="Q57" s="58"/>
      <c r="R57" s="54"/>
      <c r="S57" s="12"/>
      <c r="T57" s="74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</row>
    <row r="58" spans="1:78" s="78" customFormat="1" ht="22.15" customHeight="1" x14ac:dyDescent="0.2">
      <c r="A58" s="84"/>
      <c r="B58" s="88" t="s">
        <v>48</v>
      </c>
      <c r="C58" s="86"/>
      <c r="D58" s="87">
        <v>4</v>
      </c>
      <c r="E58" s="52" t="str">
        <f>IF(B16="","",B16)</f>
        <v>APPL_02</v>
      </c>
      <c r="F58" s="52">
        <f>IF(D16="","",D16)</f>
        <v>-5.000000000000001E-3</v>
      </c>
      <c r="G58" s="52" t="s">
        <v>13</v>
      </c>
      <c r="H58" s="52"/>
      <c r="I58" s="52"/>
      <c r="J58" s="52"/>
      <c r="K58" s="52"/>
      <c r="L58" s="55"/>
      <c r="M58" s="56"/>
      <c r="N58" s="54"/>
      <c r="O58" s="58"/>
      <c r="P58" s="58"/>
      <c r="Q58" s="58"/>
      <c r="R58" s="54"/>
      <c r="S58" s="12"/>
      <c r="T58" s="75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</row>
    <row r="59" spans="1:78" s="78" customFormat="1" ht="22.15" customHeight="1" x14ac:dyDescent="0.2">
      <c r="A59" s="84"/>
      <c r="B59" s="88" t="s">
        <v>49</v>
      </c>
      <c r="C59" s="86"/>
      <c r="D59" s="87">
        <v>3</v>
      </c>
      <c r="E59" s="52" t="str">
        <f>IF(B17="","",B17)</f>
        <v>APPL_03</v>
      </c>
      <c r="F59" s="52" t="str">
        <f>IF(D17="","",D17)</f>
        <v/>
      </c>
      <c r="G59" s="52" t="s">
        <v>13</v>
      </c>
      <c r="H59" s="52"/>
      <c r="I59" s="52"/>
      <c r="J59" s="52"/>
      <c r="K59" s="52"/>
      <c r="L59" s="55"/>
      <c r="M59" s="56"/>
      <c r="N59" s="54"/>
      <c r="O59" s="57"/>
      <c r="P59" s="57"/>
      <c r="Q59" s="57"/>
      <c r="R59" s="54"/>
      <c r="S59" s="12"/>
      <c r="T59" s="75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</row>
    <row r="60" spans="1:78" s="78" customFormat="1" ht="22.15" customHeight="1" x14ac:dyDescent="0.2">
      <c r="A60" s="84"/>
      <c r="B60" s="88" t="s">
        <v>50</v>
      </c>
      <c r="C60" s="86"/>
      <c r="D60" s="87">
        <v>4</v>
      </c>
      <c r="E60" s="52" t="str">
        <f>IF(B17="","",B17)</f>
        <v>APPL_03</v>
      </c>
      <c r="F60" s="52" t="str">
        <f>IF(D17="","",D17)</f>
        <v/>
      </c>
      <c r="G60" s="52" t="s">
        <v>13</v>
      </c>
      <c r="H60" s="52"/>
      <c r="I60" s="55"/>
      <c r="J60" s="55"/>
      <c r="K60" s="55"/>
      <c r="L60" s="55"/>
      <c r="M60" s="56"/>
      <c r="N60" s="56"/>
      <c r="O60" s="73"/>
      <c r="P60" s="73"/>
      <c r="Q60" s="73"/>
      <c r="R60" s="56"/>
      <c r="S60" s="12"/>
      <c r="T60" s="75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</row>
    <row r="61" spans="1:78" s="78" customFormat="1" ht="22.15" customHeight="1" x14ac:dyDescent="0.2">
      <c r="A61" s="84"/>
      <c r="B61" s="88" t="s">
        <v>201</v>
      </c>
      <c r="C61" s="86"/>
      <c r="D61" s="87">
        <v>3</v>
      </c>
      <c r="E61" s="52" t="str">
        <f>IF(B18="","",B18)</f>
        <v>APPL_04</v>
      </c>
      <c r="F61" s="52">
        <f>IF(D18="","",D18)</f>
        <v>-9.5000000000000001E-2</v>
      </c>
      <c r="G61" s="52" t="s">
        <v>13</v>
      </c>
      <c r="H61" s="52"/>
      <c r="I61" s="55"/>
      <c r="J61" s="55"/>
      <c r="K61" s="55"/>
      <c r="L61" s="55"/>
      <c r="M61" s="56"/>
      <c r="N61" s="56"/>
      <c r="O61" s="56"/>
      <c r="P61" s="56"/>
      <c r="Q61" s="56"/>
      <c r="R61" s="56"/>
      <c r="S61" s="12"/>
      <c r="T61" s="75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</row>
    <row r="62" spans="1:78" s="78" customFormat="1" ht="22.15" customHeight="1" x14ac:dyDescent="0.2">
      <c r="A62" s="84"/>
      <c r="B62" s="88" t="s">
        <v>202</v>
      </c>
      <c r="C62" s="85"/>
      <c r="D62" s="59">
        <v>4</v>
      </c>
      <c r="E62" s="52" t="str">
        <f>IF(B18="","",B18)</f>
        <v>APPL_04</v>
      </c>
      <c r="F62" s="52">
        <f>IF(D18="","",D18)</f>
        <v>-9.5000000000000001E-2</v>
      </c>
      <c r="G62" s="52" t="s">
        <v>13</v>
      </c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71"/>
      <c r="T62" s="74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</row>
    <row r="63" spans="1:78" s="80" customFormat="1" ht="22.15" customHeight="1" x14ac:dyDescent="0.2">
      <c r="A63" s="83"/>
      <c r="B63" s="159" t="s">
        <v>58</v>
      </c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1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</row>
    <row r="64" spans="1:78" s="78" customFormat="1" ht="22.15" customHeight="1" x14ac:dyDescent="0.2">
      <c r="A64" s="84"/>
      <c r="B64" s="59">
        <v>1</v>
      </c>
      <c r="C64" s="85"/>
      <c r="D64" s="59"/>
      <c r="E64" s="52"/>
      <c r="F64" s="52"/>
      <c r="G64" s="52"/>
      <c r="H64" s="52"/>
      <c r="I64" s="52"/>
      <c r="J64" s="52"/>
      <c r="K64" s="52"/>
      <c r="L64" s="52"/>
      <c r="M64" s="54"/>
      <c r="N64" s="54"/>
      <c r="O64" s="58"/>
      <c r="P64" s="58"/>
      <c r="Q64" s="58"/>
      <c r="R64" s="54"/>
      <c r="S64" s="12"/>
      <c r="T64" s="74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</row>
    <row r="65" spans="1:78" s="80" customFormat="1" ht="22.15" customHeight="1" x14ac:dyDescent="0.2">
      <c r="A65" s="83"/>
      <c r="B65" s="159" t="s">
        <v>76</v>
      </c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1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</row>
    <row r="66" spans="1:78" s="78" customFormat="1" ht="22.15" customHeight="1" x14ac:dyDescent="0.2">
      <c r="A66" s="84"/>
      <c r="B66" s="59">
        <v>1</v>
      </c>
      <c r="C66" s="85"/>
      <c r="D66" s="59"/>
      <c r="E66" s="52"/>
      <c r="F66" s="52"/>
      <c r="G66" s="52"/>
      <c r="H66" s="52"/>
      <c r="I66" s="52"/>
      <c r="J66" s="52"/>
      <c r="K66" s="52"/>
      <c r="L66" s="52"/>
      <c r="M66" s="54"/>
      <c r="N66" s="54"/>
      <c r="O66" s="58"/>
      <c r="P66" s="58"/>
      <c r="Q66" s="58"/>
      <c r="R66" s="54"/>
      <c r="S66" s="12"/>
      <c r="T66" s="74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</row>
    <row r="67" spans="1:78" s="80" customFormat="1" ht="22.15" customHeight="1" x14ac:dyDescent="0.2">
      <c r="A67" s="83"/>
      <c r="B67" s="159" t="s">
        <v>59</v>
      </c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1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</row>
    <row r="68" spans="1:78" s="78" customFormat="1" ht="22.15" customHeight="1" x14ac:dyDescent="0.2">
      <c r="A68" s="84"/>
      <c r="B68" s="59">
        <v>1</v>
      </c>
      <c r="C68" s="85"/>
      <c r="D68" s="59"/>
      <c r="E68" s="52"/>
      <c r="F68" s="52"/>
      <c r="G68" s="52"/>
      <c r="H68" s="52"/>
      <c r="I68" s="52"/>
      <c r="J68" s="52"/>
      <c r="K68" s="52"/>
      <c r="L68" s="52"/>
      <c r="M68" s="54"/>
      <c r="N68" s="54"/>
      <c r="O68" s="58"/>
      <c r="P68" s="58"/>
      <c r="Q68" s="58"/>
      <c r="R68" s="54"/>
      <c r="S68" s="12"/>
      <c r="T68" s="74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</row>
    <row r="69" spans="1:78" s="80" customFormat="1" ht="22.15" customHeight="1" x14ac:dyDescent="0.2">
      <c r="A69" s="83"/>
      <c r="B69" s="159" t="s">
        <v>15</v>
      </c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1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</row>
    <row r="70" spans="1:78" s="78" customFormat="1" ht="22.15" customHeight="1" x14ac:dyDescent="0.2">
      <c r="A70" s="84"/>
      <c r="B70" s="88" t="s">
        <v>47</v>
      </c>
      <c r="C70" s="86"/>
      <c r="D70" s="87">
        <v>2</v>
      </c>
      <c r="E70" s="52" t="str">
        <f>IF(B17="","",B17)</f>
        <v>APPL_03</v>
      </c>
      <c r="F70" s="55" t="str">
        <f>IF(D17="","",D17)</f>
        <v/>
      </c>
      <c r="G70" s="55" t="s">
        <v>16</v>
      </c>
      <c r="H70" s="52"/>
      <c r="I70" s="55"/>
      <c r="J70" s="55"/>
      <c r="K70" s="55"/>
      <c r="L70" s="55"/>
      <c r="M70" s="56"/>
      <c r="N70" s="56"/>
      <c r="O70" s="56"/>
      <c r="P70" s="56"/>
      <c r="Q70" s="56"/>
      <c r="R70" s="56"/>
      <c r="S70" s="12"/>
      <c r="T70" s="75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</row>
    <row r="71" spans="1:78" s="78" customFormat="1" ht="22.15" customHeight="1" x14ac:dyDescent="0.2">
      <c r="A71" s="84"/>
      <c r="B71" s="88" t="s">
        <v>48</v>
      </c>
      <c r="C71" s="85"/>
      <c r="D71" s="59">
        <v>4</v>
      </c>
      <c r="E71" s="52" t="str">
        <f>IF(B17="","",B17)</f>
        <v>APPL_03</v>
      </c>
      <c r="F71" s="52" t="str">
        <f>IF(D17="","",D17)</f>
        <v/>
      </c>
      <c r="G71" s="55" t="s">
        <v>16</v>
      </c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71"/>
      <c r="T71" s="74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</row>
    <row r="72" spans="1:78" s="80" customFormat="1" ht="22.15" customHeight="1" x14ac:dyDescent="0.2">
      <c r="A72" s="83"/>
      <c r="B72" s="159" t="s">
        <v>17</v>
      </c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1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</row>
    <row r="73" spans="1:78" s="78" customFormat="1" ht="22.15" customHeight="1" x14ac:dyDescent="0.2">
      <c r="A73" s="84"/>
      <c r="B73" s="88" t="s">
        <v>47</v>
      </c>
      <c r="C73" s="86"/>
      <c r="D73" s="87"/>
      <c r="E73" s="52"/>
      <c r="F73" s="55"/>
      <c r="G73" s="55"/>
      <c r="H73" s="52"/>
      <c r="I73" s="55"/>
      <c r="J73" s="55">
        <v>3</v>
      </c>
      <c r="K73" s="52" t="str">
        <f>IF(B28="","",B28)</f>
        <v>FPAPL_03</v>
      </c>
      <c r="L73" s="55" t="str">
        <f>IF(D28="","",D28)</f>
        <v/>
      </c>
      <c r="M73" s="56"/>
      <c r="N73" s="56"/>
      <c r="O73" s="56"/>
      <c r="P73" s="56"/>
      <c r="Q73" s="56"/>
      <c r="R73" s="56"/>
      <c r="S73" s="12"/>
      <c r="T73" s="75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</row>
    <row r="74" spans="1:78" s="78" customFormat="1" ht="22.15" customHeight="1" x14ac:dyDescent="0.2">
      <c r="A74" s="84"/>
      <c r="B74" s="88" t="s">
        <v>48</v>
      </c>
      <c r="C74" s="85"/>
      <c r="D74" s="59">
        <v>4</v>
      </c>
      <c r="E74" s="52" t="str">
        <f>IF(B17="","",B17)</f>
        <v>APPL_03</v>
      </c>
      <c r="F74" s="52" t="str">
        <f>IF(D17="","",D17)</f>
        <v/>
      </c>
      <c r="G74" s="55" t="s">
        <v>16</v>
      </c>
      <c r="H74" s="52"/>
      <c r="I74" s="52"/>
      <c r="J74" s="52">
        <v>5</v>
      </c>
      <c r="K74" s="52" t="str">
        <f>IF(B28="","",B28)</f>
        <v>FPAPL_03</v>
      </c>
      <c r="L74" s="52" t="str">
        <f>IF(D28="","",D28)</f>
        <v/>
      </c>
      <c r="M74" s="52"/>
      <c r="N74" s="52"/>
      <c r="O74" s="52"/>
      <c r="P74" s="52"/>
      <c r="Q74" s="52"/>
      <c r="R74" s="52"/>
      <c r="S74" s="71"/>
      <c r="T74" s="74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</row>
    <row r="75" spans="1:78" s="80" customFormat="1" ht="22.15" customHeight="1" x14ac:dyDescent="0.2">
      <c r="A75" s="83"/>
      <c r="B75" s="159" t="s">
        <v>18</v>
      </c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1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</row>
    <row r="76" spans="1:78" s="78" customFormat="1" ht="22.15" customHeight="1" x14ac:dyDescent="0.2">
      <c r="A76" s="84"/>
      <c r="B76" s="88" t="s">
        <v>47</v>
      </c>
      <c r="C76" s="86"/>
      <c r="D76" s="87">
        <v>3</v>
      </c>
      <c r="E76" s="52" t="str">
        <f>IF(B20="","",B20)</f>
        <v>APPL_06</v>
      </c>
      <c r="F76" s="55">
        <f>IF(D20="","",D20)</f>
        <v>1000</v>
      </c>
      <c r="G76" s="17"/>
      <c r="H76" s="52"/>
      <c r="I76" s="55"/>
      <c r="J76" s="55">
        <v>4</v>
      </c>
      <c r="K76" s="52" t="str">
        <f>IF(B31="","",B31)</f>
        <v>FPAPL_06</v>
      </c>
      <c r="L76" s="55">
        <f>IF(D31="","",D31)</f>
        <v>-1000</v>
      </c>
      <c r="M76" s="56"/>
      <c r="N76" s="56"/>
      <c r="O76" s="56"/>
      <c r="P76" s="56"/>
      <c r="Q76" s="56"/>
      <c r="R76" s="56"/>
      <c r="S76" s="12"/>
      <c r="T76" s="75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</row>
    <row r="77" spans="1:78" s="78" customFormat="1" ht="22.15" customHeight="1" x14ac:dyDescent="0.2">
      <c r="A77" s="84"/>
      <c r="B77" s="88" t="s">
        <v>48</v>
      </c>
      <c r="C77" s="86"/>
      <c r="D77" s="87"/>
      <c r="E77" s="52"/>
      <c r="F77" s="55"/>
      <c r="G77" s="55"/>
      <c r="H77" s="52"/>
      <c r="I77" s="55"/>
      <c r="J77" s="55">
        <v>5</v>
      </c>
      <c r="K77" s="52" t="str">
        <f>IF(B28="","",B28)</f>
        <v>FPAPL_03</v>
      </c>
      <c r="L77" s="55" t="str">
        <f>IF(D28="","",D28)</f>
        <v/>
      </c>
      <c r="M77" s="56"/>
      <c r="N77" s="56"/>
      <c r="O77" s="56"/>
      <c r="P77" s="56"/>
      <c r="Q77" s="56"/>
      <c r="R77" s="56"/>
      <c r="S77" s="12"/>
      <c r="T77" s="75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</row>
    <row r="78" spans="1:78" s="80" customFormat="1" ht="22.15" customHeight="1" x14ac:dyDescent="0.2">
      <c r="A78" s="83"/>
      <c r="B78" s="177" t="s">
        <v>19</v>
      </c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</row>
    <row r="79" spans="1:78" s="78" customFormat="1" ht="22.15" customHeight="1" x14ac:dyDescent="0.2">
      <c r="A79" s="84"/>
      <c r="B79" s="59">
        <v>1</v>
      </c>
      <c r="C79" s="86"/>
      <c r="D79" s="87">
        <v>4</v>
      </c>
      <c r="E79" s="52" t="str">
        <f>IF(B17="","",B17)</f>
        <v>APPL_03</v>
      </c>
      <c r="F79" s="55" t="str">
        <f>IF(D17="","",D17)</f>
        <v/>
      </c>
      <c r="G79" s="55" t="s">
        <v>16</v>
      </c>
      <c r="H79" s="52"/>
      <c r="I79" s="55"/>
      <c r="J79" s="55"/>
      <c r="K79" s="55"/>
      <c r="L79" s="55"/>
      <c r="M79" s="56">
        <v>3</v>
      </c>
      <c r="N79" s="56" t="str">
        <f>IF(B36="","",B36)</f>
        <v>FPAPL_DUR_02</v>
      </c>
      <c r="O79" s="56" t="str">
        <f>IF(D36="","",D36)</f>
        <v/>
      </c>
      <c r="P79" s="56"/>
      <c r="Q79" s="56"/>
      <c r="R79" s="56"/>
      <c r="S79" s="12"/>
      <c r="T79" s="75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</row>
    <row r="80" spans="1:78" s="80" customFormat="1" ht="22.15" customHeight="1" x14ac:dyDescent="0.2">
      <c r="A80" s="83"/>
      <c r="B80" s="159" t="s">
        <v>20</v>
      </c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1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</row>
    <row r="81" spans="1:78" s="78" customFormat="1" ht="22.15" customHeight="1" x14ac:dyDescent="0.2">
      <c r="A81" s="84"/>
      <c r="B81" s="59">
        <v>1</v>
      </c>
      <c r="C81" s="86"/>
      <c r="D81" s="87">
        <v>3</v>
      </c>
      <c r="E81" s="52" t="str">
        <f>IF(B17="","",B17)</f>
        <v>APPL_03</v>
      </c>
      <c r="F81" s="55" t="str">
        <f>IF(D17="","",D17)</f>
        <v/>
      </c>
      <c r="G81" s="55" t="s">
        <v>16</v>
      </c>
      <c r="H81" s="52"/>
      <c r="I81" s="55"/>
      <c r="J81" s="55"/>
      <c r="K81" s="55"/>
      <c r="L81" s="55"/>
      <c r="M81" s="56">
        <v>4</v>
      </c>
      <c r="N81" s="56" t="str">
        <f>IF(B37="","",B37)</f>
        <v>FPAPL_DUR_03</v>
      </c>
      <c r="O81" s="56">
        <f>IF(D37="","",D37)</f>
        <v>0</v>
      </c>
      <c r="P81" s="56"/>
      <c r="Q81" s="56"/>
      <c r="R81" s="56"/>
      <c r="S81" s="12"/>
      <c r="T81" s="75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  <c r="BW81" s="77"/>
      <c r="BX81" s="77"/>
      <c r="BY81" s="77"/>
      <c r="BZ81" s="77"/>
    </row>
    <row r="82" spans="1:78" s="80" customFormat="1" ht="22.15" customHeight="1" x14ac:dyDescent="0.2">
      <c r="A82" s="83"/>
      <c r="B82" s="159" t="s">
        <v>22</v>
      </c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1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</row>
    <row r="83" spans="1:78" s="78" customFormat="1" ht="22.15" customHeight="1" x14ac:dyDescent="0.2">
      <c r="A83" s="84"/>
      <c r="B83" s="59">
        <v>1</v>
      </c>
      <c r="C83" s="86"/>
      <c r="D83" s="87">
        <v>3</v>
      </c>
      <c r="E83" s="52" t="str">
        <f>IF(B19="","",B19)</f>
        <v>APPL_05</v>
      </c>
      <c r="F83" s="55">
        <f>IF(D19="","",D19)</f>
        <v>-0.10500000000000001</v>
      </c>
      <c r="G83" s="52" t="s">
        <v>13</v>
      </c>
      <c r="H83" s="52" t="s">
        <v>184</v>
      </c>
      <c r="I83" s="55" t="s">
        <v>51</v>
      </c>
      <c r="J83" s="55"/>
      <c r="K83" s="55"/>
      <c r="L83" s="55"/>
      <c r="M83" s="56"/>
      <c r="N83" s="56"/>
      <c r="O83" s="56"/>
      <c r="P83" s="56"/>
      <c r="Q83" s="56"/>
      <c r="R83" s="56"/>
      <c r="S83" s="12"/>
      <c r="T83" s="75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  <c r="BW83" s="77"/>
      <c r="BX83" s="77"/>
      <c r="BY83" s="77"/>
      <c r="BZ83" s="77"/>
    </row>
    <row r="84" spans="1:78" s="80" customFormat="1" ht="22.15" customHeight="1" x14ac:dyDescent="0.2">
      <c r="A84" s="83"/>
      <c r="B84" s="159" t="s">
        <v>21</v>
      </c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1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</row>
    <row r="85" spans="1:78" s="78" customFormat="1" ht="22.15" customHeight="1" x14ac:dyDescent="0.2">
      <c r="A85" s="84"/>
      <c r="B85" s="88" t="s">
        <v>47</v>
      </c>
      <c r="C85" s="86"/>
      <c r="D85" s="87">
        <v>3</v>
      </c>
      <c r="E85" s="52" t="str">
        <f>IF(B17="","",B17)</f>
        <v>APPL_03</v>
      </c>
      <c r="F85" s="55" t="str">
        <f>IF(D17="","",D17)</f>
        <v/>
      </c>
      <c r="G85" s="52" t="s">
        <v>16</v>
      </c>
      <c r="H85" s="52"/>
      <c r="I85" s="55"/>
      <c r="J85" s="55"/>
      <c r="K85" s="55"/>
      <c r="L85" s="55"/>
      <c r="M85" s="56"/>
      <c r="N85" s="56"/>
      <c r="O85" s="56"/>
      <c r="P85" s="56"/>
      <c r="Q85" s="56"/>
      <c r="R85" s="56"/>
      <c r="S85" s="12"/>
      <c r="T85" s="75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  <c r="BW85" s="77"/>
      <c r="BX85" s="77"/>
      <c r="BY85" s="77"/>
      <c r="BZ85" s="77"/>
    </row>
    <row r="86" spans="1:78" s="78" customFormat="1" ht="22.15" customHeight="1" x14ac:dyDescent="0.2">
      <c r="A86" s="84"/>
      <c r="B86" s="88" t="s">
        <v>48</v>
      </c>
      <c r="C86" s="86"/>
      <c r="D86" s="87">
        <v>4</v>
      </c>
      <c r="E86" s="52" t="str">
        <f>IF(B15="","",B15)</f>
        <v>APPL_01</v>
      </c>
      <c r="F86" s="55">
        <f>IF(D15="","",D15)</f>
        <v>0</v>
      </c>
      <c r="G86" s="52" t="s">
        <v>13</v>
      </c>
      <c r="H86" s="52"/>
      <c r="I86" s="55"/>
      <c r="J86" s="55"/>
      <c r="K86" s="55"/>
      <c r="L86" s="55"/>
      <c r="M86" s="56"/>
      <c r="N86" s="56"/>
      <c r="O86" s="56"/>
      <c r="P86" s="56"/>
      <c r="Q86" s="56"/>
      <c r="R86" s="56"/>
      <c r="S86" s="12"/>
      <c r="T86" s="75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</row>
    <row r="87" spans="1:78" s="78" customFormat="1" ht="22.15" customHeight="1" x14ac:dyDescent="0.2">
      <c r="A87" s="84"/>
      <c r="B87" s="88" t="s">
        <v>49</v>
      </c>
      <c r="C87" s="86"/>
      <c r="D87" s="87">
        <v>3</v>
      </c>
      <c r="E87" s="52" t="str">
        <f>IF(B17="","",B17)</f>
        <v>APPL_03</v>
      </c>
      <c r="F87" s="55" t="str">
        <f>IF(D17="","",D17)</f>
        <v/>
      </c>
      <c r="G87" s="52" t="s">
        <v>16</v>
      </c>
      <c r="H87" s="52"/>
      <c r="I87" s="55"/>
      <c r="J87" s="55"/>
      <c r="K87" s="55"/>
      <c r="L87" s="55"/>
      <c r="M87" s="56"/>
      <c r="N87" s="56"/>
      <c r="O87" s="56"/>
      <c r="P87" s="56"/>
      <c r="Q87" s="56"/>
      <c r="R87" s="56"/>
      <c r="S87" s="12"/>
      <c r="T87" s="75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</row>
    <row r="88" spans="1:78" s="78" customFormat="1" ht="22.15" customHeight="1" x14ac:dyDescent="0.2">
      <c r="A88" s="84"/>
      <c r="B88" s="88" t="s">
        <v>50</v>
      </c>
      <c r="C88" s="86"/>
      <c r="D88" s="87">
        <v>4</v>
      </c>
      <c r="E88" s="52" t="str">
        <f>IF(B16="","",B16)</f>
        <v>APPL_02</v>
      </c>
      <c r="F88" s="55">
        <f>IF(D16="","",D16)</f>
        <v>-5.000000000000001E-3</v>
      </c>
      <c r="G88" s="52" t="s">
        <v>13</v>
      </c>
      <c r="H88" s="52"/>
      <c r="I88" s="55"/>
      <c r="J88" s="55"/>
      <c r="K88" s="55"/>
      <c r="L88" s="55"/>
      <c r="M88" s="56"/>
      <c r="N88" s="56"/>
      <c r="O88" s="56"/>
      <c r="P88" s="56"/>
      <c r="Q88" s="56"/>
      <c r="R88" s="56"/>
      <c r="S88" s="12"/>
      <c r="T88" s="75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77"/>
      <c r="BV88" s="77"/>
      <c r="BW88" s="77"/>
      <c r="BX88" s="77"/>
      <c r="BY88" s="77"/>
      <c r="BZ88" s="77"/>
    </row>
    <row r="89" spans="1:78" s="78" customFormat="1" ht="22.15" customHeight="1" x14ac:dyDescent="0.2">
      <c r="A89" s="84"/>
      <c r="B89" s="88" t="s">
        <v>201</v>
      </c>
      <c r="C89" s="86"/>
      <c r="D89" s="87">
        <v>3</v>
      </c>
      <c r="E89" s="52" t="str">
        <f>IF(B17="","",B17)</f>
        <v>APPL_03</v>
      </c>
      <c r="F89" s="55" t="str">
        <f>IF(D17="","",D17)</f>
        <v/>
      </c>
      <c r="G89" s="52" t="s">
        <v>16</v>
      </c>
      <c r="H89" s="52"/>
      <c r="I89" s="55"/>
      <c r="J89" s="55"/>
      <c r="K89" s="55"/>
      <c r="L89" s="55"/>
      <c r="M89" s="56"/>
      <c r="N89" s="56"/>
      <c r="O89" s="56"/>
      <c r="P89" s="56"/>
      <c r="Q89" s="56"/>
      <c r="R89" s="56"/>
      <c r="S89" s="12"/>
      <c r="T89" s="75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7"/>
      <c r="BX89" s="77"/>
      <c r="BY89" s="77"/>
      <c r="BZ89" s="77"/>
    </row>
    <row r="90" spans="1:78" s="78" customFormat="1" ht="22.15" customHeight="1" x14ac:dyDescent="0.2">
      <c r="A90" s="84"/>
      <c r="B90" s="88" t="s">
        <v>202</v>
      </c>
      <c r="C90" s="86"/>
      <c r="D90" s="87">
        <v>4</v>
      </c>
      <c r="E90" s="52" t="str">
        <f>IF(B17="","",B17)</f>
        <v>APPL_03</v>
      </c>
      <c r="F90" s="55" t="str">
        <f>IF(D17="","",D17)</f>
        <v/>
      </c>
      <c r="G90" s="52" t="s">
        <v>13</v>
      </c>
      <c r="H90" s="52"/>
      <c r="I90" s="55"/>
      <c r="J90" s="55"/>
      <c r="K90" s="55"/>
      <c r="L90" s="55"/>
      <c r="M90" s="56"/>
      <c r="N90" s="56"/>
      <c r="O90" s="56"/>
      <c r="P90" s="56"/>
      <c r="Q90" s="56"/>
      <c r="R90" s="56"/>
      <c r="S90" s="12"/>
      <c r="T90" s="75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</row>
    <row r="91" spans="1:78" s="78" customFormat="1" ht="22.15" customHeight="1" x14ac:dyDescent="0.2">
      <c r="A91" s="84"/>
      <c r="B91" s="88" t="s">
        <v>203</v>
      </c>
      <c r="C91" s="86"/>
      <c r="D91" s="87">
        <v>3</v>
      </c>
      <c r="E91" s="52" t="str">
        <f>IF(B17="","",B17)</f>
        <v>APPL_03</v>
      </c>
      <c r="F91" s="55" t="str">
        <f>IF(D17="","",D17)</f>
        <v/>
      </c>
      <c r="G91" s="52" t="s">
        <v>16</v>
      </c>
      <c r="H91" s="52"/>
      <c r="I91" s="55"/>
      <c r="J91" s="55"/>
      <c r="K91" s="55"/>
      <c r="L91" s="55"/>
      <c r="M91" s="56"/>
      <c r="N91" s="56"/>
      <c r="O91" s="56"/>
      <c r="P91" s="56"/>
      <c r="Q91" s="56"/>
      <c r="R91" s="56"/>
      <c r="S91" s="12"/>
      <c r="T91" s="75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77"/>
      <c r="BV91" s="77"/>
      <c r="BW91" s="77"/>
      <c r="BX91" s="77"/>
      <c r="BY91" s="77"/>
      <c r="BZ91" s="77"/>
    </row>
    <row r="92" spans="1:78" s="78" customFormat="1" ht="22.15" customHeight="1" x14ac:dyDescent="0.2">
      <c r="A92" s="84"/>
      <c r="B92" s="88" t="s">
        <v>204</v>
      </c>
      <c r="C92" s="86"/>
      <c r="D92" s="87">
        <v>4</v>
      </c>
      <c r="E92" s="52" t="str">
        <f>IF(B18="","",B18)</f>
        <v>APPL_04</v>
      </c>
      <c r="F92" s="55">
        <f>IF(D18="","",D18)</f>
        <v>-9.5000000000000001E-2</v>
      </c>
      <c r="G92" s="52" t="s">
        <v>13</v>
      </c>
      <c r="H92" s="52"/>
      <c r="I92" s="55"/>
      <c r="J92" s="55"/>
      <c r="K92" s="55"/>
      <c r="L92" s="55"/>
      <c r="M92" s="56"/>
      <c r="N92" s="56"/>
      <c r="O92" s="56"/>
      <c r="P92" s="56"/>
      <c r="Q92" s="56"/>
      <c r="R92" s="56"/>
      <c r="S92" s="12"/>
      <c r="T92" s="75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7"/>
      <c r="BX92" s="77"/>
      <c r="BY92" s="77"/>
      <c r="BZ92" s="77"/>
    </row>
    <row r="93" spans="1:78" s="78" customFormat="1" ht="22.15" customHeight="1" x14ac:dyDescent="0.2">
      <c r="A93" s="84"/>
      <c r="B93" s="88" t="s">
        <v>205</v>
      </c>
      <c r="C93" s="86"/>
      <c r="D93" s="87">
        <v>3</v>
      </c>
      <c r="E93" s="52" t="str">
        <f>IF(B17="","",B17)</f>
        <v>APPL_03</v>
      </c>
      <c r="F93" s="55" t="str">
        <f>IF(D17="","",D17)</f>
        <v/>
      </c>
      <c r="G93" s="52" t="s">
        <v>16</v>
      </c>
      <c r="H93" s="52"/>
      <c r="I93" s="55"/>
      <c r="J93" s="55"/>
      <c r="K93" s="55"/>
      <c r="L93" s="55"/>
      <c r="M93" s="56"/>
      <c r="N93" s="56"/>
      <c r="O93" s="56"/>
      <c r="P93" s="56"/>
      <c r="Q93" s="56"/>
      <c r="R93" s="56"/>
      <c r="S93" s="12"/>
      <c r="T93" s="75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77"/>
      <c r="BV93" s="77"/>
      <c r="BW93" s="77"/>
      <c r="BX93" s="77"/>
      <c r="BY93" s="77"/>
      <c r="BZ93" s="77"/>
    </row>
    <row r="94" spans="1:78" s="78" customFormat="1" ht="22.15" customHeight="1" x14ac:dyDescent="0.2">
      <c r="A94" s="84"/>
      <c r="B94" s="88" t="s">
        <v>206</v>
      </c>
      <c r="C94" s="85"/>
      <c r="D94" s="59">
        <v>4</v>
      </c>
      <c r="E94" s="52" t="str">
        <f>IF(B19="","",B19)</f>
        <v>APPL_05</v>
      </c>
      <c r="F94" s="52">
        <f>IF(D19="","",D19)</f>
        <v>-0.10500000000000001</v>
      </c>
      <c r="G94" s="52" t="s">
        <v>13</v>
      </c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71"/>
      <c r="T94" s="74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77"/>
      <c r="BV94" s="77"/>
      <c r="BW94" s="77"/>
      <c r="BX94" s="77"/>
      <c r="BY94" s="77"/>
      <c r="BZ94" s="77"/>
    </row>
    <row r="95" spans="1:78" s="80" customFormat="1" ht="22.15" customHeight="1" x14ac:dyDescent="0.2">
      <c r="A95" s="83"/>
      <c r="B95" s="159" t="s">
        <v>60</v>
      </c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1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</row>
    <row r="96" spans="1:78" s="78" customFormat="1" ht="22.15" customHeight="1" x14ac:dyDescent="0.2">
      <c r="A96" s="84"/>
      <c r="B96" s="59">
        <v>1</v>
      </c>
      <c r="C96" s="85"/>
      <c r="D96" s="59"/>
      <c r="E96" s="52"/>
      <c r="F96" s="52"/>
      <c r="G96" s="52"/>
      <c r="H96" s="52"/>
      <c r="I96" s="52"/>
      <c r="J96" s="52">
        <v>1</v>
      </c>
      <c r="K96" s="55" t="str">
        <f>IF(B26="","",B26)</f>
        <v>FPAPL_01</v>
      </c>
      <c r="L96" s="55">
        <f>IF(D26="","",D26)</f>
        <v>0</v>
      </c>
      <c r="M96" s="52">
        <v>2</v>
      </c>
      <c r="N96" s="56" t="str">
        <f>IF(B36="","",B36)</f>
        <v>FPAPL_DUR_02</v>
      </c>
      <c r="O96" s="52" t="str">
        <f>IF(D36="","",D36)</f>
        <v/>
      </c>
      <c r="P96" s="52"/>
      <c r="Q96" s="52"/>
      <c r="R96" s="52"/>
      <c r="S96" s="71"/>
      <c r="T96" s="76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77"/>
      <c r="BV96" s="77"/>
      <c r="BW96" s="77"/>
      <c r="BX96" s="77"/>
      <c r="BY96" s="77"/>
      <c r="BZ96" s="77"/>
    </row>
    <row r="97" spans="1:78" s="78" customFormat="1" ht="22.15" customHeight="1" x14ac:dyDescent="0.2">
      <c r="A97" s="84"/>
      <c r="B97" s="59">
        <v>2</v>
      </c>
      <c r="C97" s="85"/>
      <c r="D97" s="59"/>
      <c r="E97" s="52"/>
      <c r="F97" s="52"/>
      <c r="G97" s="52"/>
      <c r="H97" s="52"/>
      <c r="I97" s="52"/>
      <c r="J97" s="52">
        <v>1</v>
      </c>
      <c r="K97" s="55" t="str">
        <f>IF(B27="","",B27)</f>
        <v>FPAPL_02</v>
      </c>
      <c r="L97" s="55">
        <f>IF(D27="","",D27)</f>
        <v>5.000000000000001E-3</v>
      </c>
      <c r="M97" s="52">
        <v>2</v>
      </c>
      <c r="N97" s="56" t="str">
        <f>IF(B36="","",B36)</f>
        <v>FPAPL_DUR_02</v>
      </c>
      <c r="O97" s="52" t="str">
        <f>IF(D36="","",D36)</f>
        <v/>
      </c>
      <c r="P97" s="52"/>
      <c r="Q97" s="52"/>
      <c r="R97" s="52"/>
      <c r="S97" s="71"/>
      <c r="T97" s="76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</row>
    <row r="98" spans="1:78" s="78" customFormat="1" ht="22.15" customHeight="1" x14ac:dyDescent="0.2">
      <c r="A98" s="84"/>
      <c r="B98" s="59">
        <v>3</v>
      </c>
      <c r="C98" s="85"/>
      <c r="D98" s="59"/>
      <c r="E98" s="52"/>
      <c r="F98" s="52"/>
      <c r="G98" s="52"/>
      <c r="H98" s="52"/>
      <c r="I98" s="52"/>
      <c r="J98" s="52">
        <v>1</v>
      </c>
      <c r="K98" s="55" t="str">
        <f>IF(B28="","",B28)</f>
        <v>FPAPL_03</v>
      </c>
      <c r="L98" s="55" t="str">
        <f>IF(D28="","",D28)</f>
        <v/>
      </c>
      <c r="M98" s="52">
        <v>2</v>
      </c>
      <c r="N98" s="56" t="str">
        <f>IF(B36="","",B36)</f>
        <v>FPAPL_DUR_02</v>
      </c>
      <c r="O98" s="52" t="str">
        <f>IF(D36="","",D36)</f>
        <v/>
      </c>
      <c r="P98" s="52"/>
      <c r="Q98" s="52"/>
      <c r="R98" s="52"/>
      <c r="S98" s="71"/>
      <c r="T98" s="76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77"/>
      <c r="BR98" s="77"/>
      <c r="BS98" s="77"/>
      <c r="BT98" s="77"/>
      <c r="BU98" s="77"/>
      <c r="BV98" s="77"/>
      <c r="BW98" s="77"/>
      <c r="BX98" s="77"/>
      <c r="BY98" s="77"/>
      <c r="BZ98" s="77"/>
    </row>
    <row r="99" spans="1:78" s="78" customFormat="1" ht="22.15" customHeight="1" x14ac:dyDescent="0.2">
      <c r="A99" s="84"/>
      <c r="B99" s="59">
        <v>4</v>
      </c>
      <c r="C99" s="85"/>
      <c r="D99" s="59"/>
      <c r="E99" s="52"/>
      <c r="F99" s="52"/>
      <c r="G99" s="52"/>
      <c r="H99" s="52"/>
      <c r="I99" s="52"/>
      <c r="J99" s="52">
        <v>1</v>
      </c>
      <c r="K99" s="55" t="str">
        <f>IF(B29="","",B29)</f>
        <v>FPAPL_04</v>
      </c>
      <c r="L99" s="55">
        <f>IF(D29="","",D29)</f>
        <v>9.5000000000000001E-2</v>
      </c>
      <c r="M99" s="52">
        <v>2</v>
      </c>
      <c r="N99" s="56" t="str">
        <f>IF(B36="","",B36)</f>
        <v>FPAPL_DUR_02</v>
      </c>
      <c r="O99" s="52" t="str">
        <f>IF(D36="","",D36)</f>
        <v/>
      </c>
      <c r="P99" s="52"/>
      <c r="Q99" s="52"/>
      <c r="R99" s="52"/>
      <c r="S99" s="71"/>
      <c r="T99" s="76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</row>
    <row r="100" spans="1:78" s="78" customFormat="1" ht="22.15" customHeight="1" x14ac:dyDescent="0.2">
      <c r="A100" s="84"/>
      <c r="B100" s="59">
        <v>5</v>
      </c>
      <c r="C100" s="85"/>
      <c r="D100" s="59"/>
      <c r="E100" s="52"/>
      <c r="F100" s="52"/>
      <c r="G100" s="52"/>
      <c r="H100" s="52"/>
      <c r="I100" s="52"/>
      <c r="J100" s="52">
        <v>1</v>
      </c>
      <c r="K100" s="55" t="str">
        <f>IF(B30="","",B30)</f>
        <v>FPAPL_05</v>
      </c>
      <c r="L100" s="55">
        <f>IF(D30="","",D30)</f>
        <v>0.10500000000000001</v>
      </c>
      <c r="M100" s="52">
        <v>2</v>
      </c>
      <c r="N100" s="56" t="str">
        <f>IF(B36="","",B36)</f>
        <v>FPAPL_DUR_02</v>
      </c>
      <c r="O100" s="52" t="str">
        <f>IF(D36="","",D36)</f>
        <v/>
      </c>
      <c r="P100" s="52"/>
      <c r="Q100" s="52"/>
      <c r="R100" s="52"/>
      <c r="S100" s="71"/>
      <c r="T100" s="76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</row>
    <row r="101" spans="1:78" s="78" customFormat="1" ht="22.15" customHeight="1" x14ac:dyDescent="0.2">
      <c r="A101" s="84"/>
      <c r="B101" s="59">
        <v>6</v>
      </c>
      <c r="C101" s="85"/>
      <c r="D101" s="59"/>
      <c r="E101" s="52"/>
      <c r="F101" s="52"/>
      <c r="G101" s="52"/>
      <c r="H101" s="52"/>
      <c r="I101" s="52"/>
      <c r="J101" s="52">
        <v>1</v>
      </c>
      <c r="K101" s="55" t="str">
        <f>IF(B28="","",B28)</f>
        <v>FPAPL_03</v>
      </c>
      <c r="L101" s="55" t="str">
        <f>IF(D28="","",D28)</f>
        <v/>
      </c>
      <c r="M101" s="52">
        <v>2</v>
      </c>
      <c r="N101" s="56" t="str">
        <f>IF(B35="","",B35)</f>
        <v>FPAPL_DUR_01</v>
      </c>
      <c r="O101" s="56">
        <f>IF(D35="","",D35)</f>
        <v>6840</v>
      </c>
      <c r="P101" s="52"/>
      <c r="Q101" s="52"/>
      <c r="R101" s="52"/>
      <c r="S101" s="71"/>
      <c r="T101" s="76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</row>
    <row r="102" spans="1:78" s="78" customFormat="1" ht="22.15" customHeight="1" x14ac:dyDescent="0.2">
      <c r="A102" s="84"/>
      <c r="B102" s="59">
        <v>7</v>
      </c>
      <c r="C102" s="85"/>
      <c r="D102" s="59"/>
      <c r="E102" s="52"/>
      <c r="F102" s="52"/>
      <c r="G102" s="52"/>
      <c r="H102" s="52"/>
      <c r="I102" s="52"/>
      <c r="J102" s="52">
        <v>1</v>
      </c>
      <c r="K102" s="55" t="str">
        <f>IF(B28="","",B28)</f>
        <v>FPAPL_03</v>
      </c>
      <c r="L102" s="55" t="str">
        <f>IF(D28="","",D28)</f>
        <v/>
      </c>
      <c r="M102" s="52">
        <v>2</v>
      </c>
      <c r="N102" s="56" t="str">
        <f>IF(B37="","",B37)</f>
        <v>FPAPL_DUR_03</v>
      </c>
      <c r="O102" s="52">
        <f>IF(D37="","",D37)</f>
        <v>0</v>
      </c>
      <c r="P102" s="52"/>
      <c r="Q102" s="52"/>
      <c r="R102" s="52"/>
      <c r="S102" s="71"/>
      <c r="T102" s="76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</row>
    <row r="103" spans="1:78" s="80" customFormat="1" ht="22.15" customHeight="1" x14ac:dyDescent="0.2">
      <c r="A103" s="83"/>
      <c r="B103" s="159" t="s">
        <v>187</v>
      </c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1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</row>
    <row r="104" spans="1:78" s="78" customFormat="1" ht="22.15" customHeight="1" x14ac:dyDescent="0.2">
      <c r="A104" s="84"/>
      <c r="B104" s="88" t="s">
        <v>47</v>
      </c>
      <c r="C104" s="86"/>
      <c r="D104" s="87">
        <v>6</v>
      </c>
      <c r="E104" s="52" t="str">
        <f>IF(B17="","",B17)</f>
        <v>APPL_03</v>
      </c>
      <c r="F104" s="55" t="str">
        <f>IF(D17="","",D17)</f>
        <v/>
      </c>
      <c r="G104" s="55" t="s">
        <v>16</v>
      </c>
      <c r="H104" s="52"/>
      <c r="I104" s="55"/>
      <c r="J104" s="55"/>
      <c r="K104" s="55"/>
      <c r="L104" s="55"/>
      <c r="M104" s="56"/>
      <c r="N104" s="56"/>
      <c r="O104" s="56"/>
      <c r="P104" s="56"/>
      <c r="Q104" s="56"/>
      <c r="R104" s="56" t="str">
        <f>IF(D9="","",D9)</f>
        <v/>
      </c>
      <c r="S104" s="12"/>
      <c r="T104" s="75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</row>
    <row r="105" spans="1:78" s="78" customFormat="1" ht="22.15" customHeight="1" x14ac:dyDescent="0.2">
      <c r="A105" s="84"/>
      <c r="B105" s="88" t="s">
        <v>48</v>
      </c>
      <c r="C105" s="85"/>
      <c r="D105" s="59">
        <v>8</v>
      </c>
      <c r="E105" s="52" t="str">
        <f>IF(B17="","",B17)</f>
        <v>APPL_03</v>
      </c>
      <c r="F105" s="52" t="str">
        <f>IF(D17="","",D17)</f>
        <v/>
      </c>
      <c r="G105" s="55" t="s">
        <v>16</v>
      </c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71"/>
      <c r="T105" s="74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</row>
    <row r="106" spans="1:78" s="80" customFormat="1" ht="22.15" customHeight="1" x14ac:dyDescent="0.2">
      <c r="A106" s="83"/>
      <c r="B106" s="159" t="s">
        <v>61</v>
      </c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1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</row>
    <row r="107" spans="1:78" s="78" customFormat="1" ht="22.15" customHeight="1" x14ac:dyDescent="0.2">
      <c r="A107" s="84"/>
      <c r="B107" s="59">
        <v>1</v>
      </c>
      <c r="C107" s="86"/>
      <c r="D107" s="87"/>
      <c r="E107" s="52"/>
      <c r="F107" s="55"/>
      <c r="G107" s="55"/>
      <c r="H107" s="52"/>
      <c r="I107" s="55"/>
      <c r="J107" s="55"/>
      <c r="K107" s="55"/>
      <c r="L107" s="55"/>
      <c r="M107" s="56"/>
      <c r="N107" s="56"/>
      <c r="O107" s="56"/>
      <c r="P107" s="56"/>
      <c r="Q107" s="56"/>
      <c r="R107" s="56"/>
      <c r="S107" s="12"/>
      <c r="T107" s="75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</row>
    <row r="108" spans="1:78" s="80" customFormat="1" ht="22.15" customHeight="1" x14ac:dyDescent="0.2">
      <c r="A108" s="83"/>
      <c r="B108" s="159" t="s">
        <v>62</v>
      </c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1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</row>
    <row r="109" spans="1:78" s="78" customFormat="1" ht="22.15" customHeight="1" x14ac:dyDescent="0.2">
      <c r="A109" s="84"/>
      <c r="B109" s="59">
        <v>1</v>
      </c>
      <c r="C109" s="86"/>
      <c r="D109" s="87"/>
      <c r="E109" s="52"/>
      <c r="F109" s="55"/>
      <c r="G109" s="55"/>
      <c r="H109" s="52"/>
      <c r="I109" s="55"/>
      <c r="J109" s="55"/>
      <c r="K109" s="55"/>
      <c r="L109" s="55"/>
      <c r="M109" s="56"/>
      <c r="N109" s="56"/>
      <c r="O109" s="56"/>
      <c r="P109" s="56"/>
      <c r="Q109" s="56"/>
      <c r="R109" s="56"/>
      <c r="S109" s="12"/>
      <c r="T109" s="75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</row>
    <row r="110" spans="1:78" s="80" customFormat="1" ht="22.15" customHeight="1" x14ac:dyDescent="0.2">
      <c r="A110" s="83"/>
      <c r="B110" s="159" t="s">
        <v>23</v>
      </c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1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</row>
    <row r="111" spans="1:78" s="78" customFormat="1" ht="22.15" customHeight="1" x14ac:dyDescent="0.2">
      <c r="A111" s="84"/>
      <c r="B111" s="88" t="s">
        <v>47</v>
      </c>
      <c r="C111" s="86"/>
      <c r="D111" s="87">
        <v>3</v>
      </c>
      <c r="E111" s="52" t="str">
        <f>IF(B17="","",B17)</f>
        <v>APPL_03</v>
      </c>
      <c r="F111" s="55" t="str">
        <f>IF(D17="","",D17)</f>
        <v/>
      </c>
      <c r="G111" s="55" t="s">
        <v>16</v>
      </c>
      <c r="H111" s="52"/>
      <c r="I111" s="55"/>
      <c r="J111" s="55">
        <v>4</v>
      </c>
      <c r="K111" s="52" t="str">
        <f>IF(B28="","",B28)</f>
        <v>FPAPL_03</v>
      </c>
      <c r="L111" s="55" t="str">
        <f>IF(D28="","",D28)</f>
        <v/>
      </c>
      <c r="M111" s="56">
        <v>6</v>
      </c>
      <c r="N111" s="56" t="str">
        <f>IF(B36="","",B36)</f>
        <v>FPAPL_DUR_02</v>
      </c>
      <c r="O111" s="56" t="str">
        <f>IF(D36="","",D36)</f>
        <v/>
      </c>
      <c r="P111" s="56"/>
      <c r="Q111" s="56"/>
      <c r="R111" s="56"/>
      <c r="S111" s="12"/>
      <c r="T111" s="75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</row>
    <row r="112" spans="1:78" s="78" customFormat="1" ht="22.15" customHeight="1" x14ac:dyDescent="0.2">
      <c r="A112" s="84"/>
      <c r="B112" s="88" t="s">
        <v>48</v>
      </c>
      <c r="C112" s="85"/>
      <c r="D112" s="59">
        <v>10</v>
      </c>
      <c r="E112" s="52" t="str">
        <f>IF(B17="","",B17)</f>
        <v>APPL_03</v>
      </c>
      <c r="F112" s="52" t="str">
        <f>IF(D17="","",D17)</f>
        <v/>
      </c>
      <c r="G112" s="55" t="s">
        <v>16</v>
      </c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71"/>
      <c r="T112" s="74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</row>
    <row r="113" spans="1:78" s="80" customFormat="1" ht="22.15" customHeight="1" x14ac:dyDescent="0.2">
      <c r="A113" s="83"/>
      <c r="B113" s="159" t="s">
        <v>24</v>
      </c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1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</row>
    <row r="114" spans="1:78" s="78" customFormat="1" ht="22.15" customHeight="1" x14ac:dyDescent="0.2">
      <c r="A114" s="84"/>
      <c r="B114" s="59">
        <v>1</v>
      </c>
      <c r="C114" s="86"/>
      <c r="D114" s="87">
        <v>2</v>
      </c>
      <c r="E114" s="52" t="str">
        <f>IF(B20="","",B20)</f>
        <v>APPL_06</v>
      </c>
      <c r="F114" s="55">
        <f>IF(D20="","",D20)</f>
        <v>1000</v>
      </c>
      <c r="G114" s="17"/>
      <c r="H114" s="52"/>
      <c r="I114" s="55"/>
      <c r="J114" s="55"/>
      <c r="K114" s="55"/>
      <c r="L114" s="55"/>
      <c r="M114" s="56"/>
      <c r="N114" s="56"/>
      <c r="O114" s="56"/>
      <c r="P114" s="56"/>
      <c r="Q114" s="56"/>
      <c r="R114" s="56"/>
      <c r="S114" s="12"/>
      <c r="T114" s="75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Q114" s="77"/>
      <c r="BR114" s="77"/>
      <c r="BS114" s="77"/>
      <c r="BT114" s="77"/>
      <c r="BU114" s="77"/>
      <c r="BV114" s="77"/>
      <c r="BW114" s="77"/>
      <c r="BX114" s="77"/>
      <c r="BY114" s="77"/>
      <c r="BZ114" s="77"/>
    </row>
    <row r="115" spans="1:78" s="80" customFormat="1" ht="22.15" customHeight="1" x14ac:dyDescent="0.2">
      <c r="A115" s="83"/>
      <c r="B115" s="159" t="s">
        <v>25</v>
      </c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1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</row>
    <row r="116" spans="1:78" s="78" customFormat="1" ht="22.15" customHeight="1" x14ac:dyDescent="0.2">
      <c r="A116" s="84"/>
      <c r="B116" s="88" t="s">
        <v>47</v>
      </c>
      <c r="C116" s="86"/>
      <c r="D116" s="87">
        <v>3</v>
      </c>
      <c r="E116" s="52" t="str">
        <f>IF(B17="","",B17)</f>
        <v>APPL_03</v>
      </c>
      <c r="F116" s="55" t="str">
        <f>IF(D17="","",D17)</f>
        <v/>
      </c>
      <c r="G116" s="55" t="s">
        <v>13</v>
      </c>
      <c r="H116" s="52" t="s">
        <v>184</v>
      </c>
      <c r="I116" s="55" t="s">
        <v>51</v>
      </c>
      <c r="J116" s="55"/>
      <c r="K116" s="55"/>
      <c r="L116" s="55"/>
      <c r="M116" s="56"/>
      <c r="N116" s="56"/>
      <c r="O116" s="56"/>
      <c r="P116" s="56"/>
      <c r="Q116" s="56"/>
      <c r="R116" s="56"/>
      <c r="S116" s="12"/>
      <c r="T116" s="75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Q116" s="77"/>
      <c r="BR116" s="77"/>
      <c r="BS116" s="77"/>
      <c r="BT116" s="77"/>
      <c r="BU116" s="77"/>
      <c r="BV116" s="77"/>
      <c r="BW116" s="77"/>
      <c r="BX116" s="77"/>
      <c r="BY116" s="77"/>
      <c r="BZ116" s="77"/>
    </row>
    <row r="117" spans="1:78" s="78" customFormat="1" ht="22.15" customHeight="1" x14ac:dyDescent="0.2">
      <c r="A117" s="84"/>
      <c r="B117" s="88" t="s">
        <v>48</v>
      </c>
      <c r="C117" s="85"/>
      <c r="D117" s="59">
        <v>6</v>
      </c>
      <c r="E117" s="52" t="str">
        <f>IF(B17="","",B17)</f>
        <v>APPL_03</v>
      </c>
      <c r="F117" s="52" t="str">
        <f>IF(D17="","",D17)</f>
        <v/>
      </c>
      <c r="G117" s="55" t="s">
        <v>13</v>
      </c>
      <c r="H117" s="52" t="s">
        <v>184</v>
      </c>
      <c r="I117" s="55" t="s">
        <v>51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71"/>
      <c r="T117" s="74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</row>
    <row r="118" spans="1:78" s="80" customFormat="1" ht="22.15" customHeight="1" x14ac:dyDescent="0.2">
      <c r="A118" s="83"/>
      <c r="B118" s="159" t="s">
        <v>26</v>
      </c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1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</row>
    <row r="119" spans="1:78" s="78" customFormat="1" ht="22.15" customHeight="1" x14ac:dyDescent="0.2">
      <c r="A119" s="84"/>
      <c r="B119" s="59">
        <v>1</v>
      </c>
      <c r="C119" s="86"/>
      <c r="D119" s="87">
        <v>2</v>
      </c>
      <c r="E119" s="52" t="str">
        <f>IF(B20="","",B20)</f>
        <v>APPL_06</v>
      </c>
      <c r="F119" s="55">
        <f>IF(D20="","",D20)</f>
        <v>1000</v>
      </c>
      <c r="G119" s="17"/>
      <c r="H119" s="52"/>
      <c r="I119" s="55"/>
      <c r="J119" s="55"/>
      <c r="K119" s="55"/>
      <c r="L119" s="55"/>
      <c r="M119" s="56"/>
      <c r="N119" s="56"/>
      <c r="O119" s="56"/>
      <c r="P119" s="56"/>
      <c r="Q119" s="56"/>
      <c r="R119" s="56"/>
      <c r="S119" s="12"/>
      <c r="T119" s="75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</row>
    <row r="120" spans="1:78" s="80" customFormat="1" ht="22.15" customHeight="1" x14ac:dyDescent="0.2">
      <c r="A120" s="83"/>
      <c r="B120" s="159" t="s">
        <v>208</v>
      </c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1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/>
      <c r="BC120" s="79"/>
      <c r="BD120" s="79"/>
      <c r="BE120" s="79"/>
      <c r="BF120" s="79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</row>
    <row r="121" spans="1:78" s="78" customFormat="1" ht="22.15" customHeight="1" x14ac:dyDescent="0.2">
      <c r="A121" s="84"/>
      <c r="B121" s="59">
        <v>1</v>
      </c>
      <c r="C121" s="86"/>
      <c r="D121" s="87"/>
      <c r="E121" s="52"/>
      <c r="F121" s="55"/>
      <c r="G121" s="55"/>
      <c r="H121" s="52"/>
      <c r="I121" s="55"/>
      <c r="J121" s="55"/>
      <c r="K121" s="55"/>
      <c r="L121" s="55"/>
      <c r="M121" s="56"/>
      <c r="N121" s="56"/>
      <c r="O121" s="56"/>
      <c r="P121" s="56"/>
      <c r="Q121" s="56" t="str">
        <f>IF(D41="","",D41)</f>
        <v/>
      </c>
      <c r="R121" s="56"/>
      <c r="S121" s="12"/>
      <c r="T121" s="75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7"/>
      <c r="BN121" s="77"/>
      <c r="BO121" s="77"/>
      <c r="BP121" s="77"/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</row>
    <row r="122" spans="1:78" s="80" customFormat="1" ht="22.15" customHeight="1" x14ac:dyDescent="0.2">
      <c r="A122" s="83"/>
      <c r="B122" s="159" t="s">
        <v>209</v>
      </c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1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</row>
    <row r="123" spans="1:78" s="78" customFormat="1" ht="22.15" customHeight="1" x14ac:dyDescent="0.2">
      <c r="A123" s="84"/>
      <c r="B123" s="59">
        <v>1</v>
      </c>
      <c r="C123" s="86"/>
      <c r="D123" s="87"/>
      <c r="E123" s="52"/>
      <c r="F123" s="55"/>
      <c r="G123" s="55"/>
      <c r="H123" s="52"/>
      <c r="I123" s="55"/>
      <c r="J123" s="55"/>
      <c r="K123" s="55"/>
      <c r="L123" s="55"/>
      <c r="M123" s="56"/>
      <c r="N123" s="56"/>
      <c r="O123" s="56"/>
      <c r="P123" s="56" t="str">
        <f>IF(D39="","",D39)</f>
        <v/>
      </c>
      <c r="Q123" s="56"/>
      <c r="R123" s="56"/>
      <c r="S123" s="12"/>
      <c r="T123" s="75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</row>
    <row r="124" spans="1:78" s="80" customFormat="1" ht="22.15" customHeight="1" x14ac:dyDescent="0.2">
      <c r="A124" s="83"/>
      <c r="B124" s="159" t="s">
        <v>27</v>
      </c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1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</row>
    <row r="125" spans="1:78" s="78" customFormat="1" ht="22.15" customHeight="1" x14ac:dyDescent="0.2">
      <c r="A125" s="84"/>
      <c r="B125" s="88" t="s">
        <v>47</v>
      </c>
      <c r="C125" s="86"/>
      <c r="D125" s="87">
        <v>4</v>
      </c>
      <c r="E125" s="52" t="str">
        <f>IF(B17="","",B17)</f>
        <v>APPL_03</v>
      </c>
      <c r="F125" s="55" t="str">
        <f>IF(D17="","",D17)</f>
        <v/>
      </c>
      <c r="G125" s="17"/>
      <c r="H125" s="52"/>
      <c r="I125" s="55"/>
      <c r="J125" s="55">
        <v>5</v>
      </c>
      <c r="K125" s="52" t="str">
        <f>IF(B28="","",B28)</f>
        <v>FPAPL_03</v>
      </c>
      <c r="L125" s="55" t="str">
        <f>IF(D28="","",D28)</f>
        <v/>
      </c>
      <c r="M125" s="56">
        <v>6</v>
      </c>
      <c r="N125" s="56" t="str">
        <f>IF(B36="","",B36)</f>
        <v>FPAPL_DUR_02</v>
      </c>
      <c r="O125" s="56" t="str">
        <f>IF(D36="","",D36)</f>
        <v/>
      </c>
      <c r="P125" s="56"/>
      <c r="Q125" s="56"/>
      <c r="R125" s="56"/>
      <c r="S125" s="12"/>
      <c r="T125" s="75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</row>
    <row r="126" spans="1:78" s="78" customFormat="1" ht="22.15" customHeight="1" x14ac:dyDescent="0.2">
      <c r="A126" s="84"/>
      <c r="B126" s="88" t="s">
        <v>48</v>
      </c>
      <c r="C126" s="85"/>
      <c r="D126" s="59">
        <v>8</v>
      </c>
      <c r="E126" s="52" t="str">
        <f>IF(B17="","",B17)</f>
        <v>APPL_03</v>
      </c>
      <c r="F126" s="52" t="str">
        <f>IF(D17="","",D17)</f>
        <v/>
      </c>
      <c r="G126" s="71"/>
      <c r="H126" s="52"/>
      <c r="I126" s="52"/>
      <c r="J126" s="52">
        <v>10</v>
      </c>
      <c r="K126" s="52" t="str">
        <f>IF(B28="","",B28)</f>
        <v>FPAPL_03</v>
      </c>
      <c r="L126" s="52" t="str">
        <f>IF(D28="","",D28)</f>
        <v/>
      </c>
      <c r="M126" s="52"/>
      <c r="N126" s="52"/>
      <c r="O126" s="52"/>
      <c r="P126" s="52"/>
      <c r="Q126" s="52"/>
      <c r="R126" s="52"/>
      <c r="S126" s="71"/>
      <c r="T126" s="74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</row>
    <row r="127" spans="1:78" s="80" customFormat="1" ht="22.15" customHeight="1" x14ac:dyDescent="0.2">
      <c r="A127" s="83"/>
      <c r="B127" s="159" t="s">
        <v>63</v>
      </c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1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</row>
    <row r="128" spans="1:78" s="78" customFormat="1" ht="22.15" customHeight="1" x14ac:dyDescent="0.2">
      <c r="A128" s="84"/>
      <c r="B128" s="59">
        <v>1</v>
      </c>
      <c r="C128" s="86"/>
      <c r="D128" s="87"/>
      <c r="E128" s="52"/>
      <c r="F128" s="55"/>
      <c r="G128" s="55"/>
      <c r="H128" s="52"/>
      <c r="I128" s="55"/>
      <c r="J128" s="55"/>
      <c r="K128" s="55"/>
      <c r="L128" s="55"/>
      <c r="M128" s="56"/>
      <c r="N128" s="56"/>
      <c r="O128" s="56"/>
      <c r="P128" s="56"/>
      <c r="Q128" s="56"/>
      <c r="R128" s="56"/>
      <c r="S128" s="12"/>
      <c r="T128" s="75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</row>
    <row r="129" spans="1:78" s="80" customFormat="1" ht="22.15" customHeight="1" x14ac:dyDescent="0.2">
      <c r="A129" s="83"/>
      <c r="B129" s="159" t="s">
        <v>28</v>
      </c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1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</row>
    <row r="130" spans="1:78" s="78" customFormat="1" ht="22.15" customHeight="1" x14ac:dyDescent="0.2">
      <c r="A130" s="84"/>
      <c r="B130" s="59">
        <v>1</v>
      </c>
      <c r="C130" s="86"/>
      <c r="D130" s="87"/>
      <c r="E130" s="52"/>
      <c r="F130" s="55"/>
      <c r="G130" s="55"/>
      <c r="H130" s="52"/>
      <c r="I130" s="55"/>
      <c r="J130" s="55"/>
      <c r="K130" s="55"/>
      <c r="L130" s="55"/>
      <c r="M130" s="56">
        <v>4</v>
      </c>
      <c r="N130" s="56" t="str">
        <f>IF(B36="","",B36)</f>
        <v>FPAPL_DUR_02</v>
      </c>
      <c r="O130" s="56" t="str">
        <f>IF(D36="","",D36)</f>
        <v/>
      </c>
      <c r="P130" s="56"/>
      <c r="Q130" s="56"/>
      <c r="R130" s="56"/>
      <c r="S130" s="12"/>
      <c r="T130" s="75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</row>
    <row r="131" spans="1:78" s="80" customFormat="1" ht="22.15" customHeight="1" x14ac:dyDescent="0.2">
      <c r="A131" s="83"/>
      <c r="B131" s="159" t="s">
        <v>29</v>
      </c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1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</row>
    <row r="132" spans="1:78" s="78" customFormat="1" ht="22.15" customHeight="1" x14ac:dyDescent="0.2">
      <c r="A132" s="84"/>
      <c r="B132" s="88" t="s">
        <v>47</v>
      </c>
      <c r="C132" s="86"/>
      <c r="D132" s="87">
        <v>4</v>
      </c>
      <c r="E132" s="52" t="str">
        <f>IF(B17="","",B17)</f>
        <v>APPL_03</v>
      </c>
      <c r="F132" s="55" t="str">
        <f>IF(D17="","",D17)</f>
        <v/>
      </c>
      <c r="G132" s="17"/>
      <c r="H132" s="52"/>
      <c r="I132" s="55"/>
      <c r="J132" s="55">
        <v>5</v>
      </c>
      <c r="K132" s="52" t="str">
        <f>IF(B28="","",B28)</f>
        <v>FPAPL_03</v>
      </c>
      <c r="L132" s="55" t="str">
        <f>IF(D28="","",D28)</f>
        <v/>
      </c>
      <c r="M132" s="56"/>
      <c r="N132" s="56"/>
      <c r="O132" s="56"/>
      <c r="P132" s="56"/>
      <c r="Q132" s="56"/>
      <c r="R132" s="56"/>
      <c r="S132" s="12"/>
      <c r="T132" s="75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7"/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</row>
    <row r="133" spans="1:78" s="78" customFormat="1" ht="22.15" customHeight="1" x14ac:dyDescent="0.2">
      <c r="A133" s="84"/>
      <c r="B133" s="88" t="s">
        <v>48</v>
      </c>
      <c r="C133" s="85"/>
      <c r="D133" s="59">
        <v>7</v>
      </c>
      <c r="E133" s="52" t="str">
        <f>IF(B17="","",B17)</f>
        <v>APPL_03</v>
      </c>
      <c r="F133" s="52" t="str">
        <f>IF(D17="","",D17)</f>
        <v/>
      </c>
      <c r="G133" s="71"/>
      <c r="H133" s="52"/>
      <c r="I133" s="52"/>
      <c r="J133" s="52">
        <v>9</v>
      </c>
      <c r="K133" s="52" t="str">
        <f>IF(B28="","",B28)</f>
        <v>FPAPL_03</v>
      </c>
      <c r="L133" s="52" t="str">
        <f>IF(D28="","",D28)</f>
        <v/>
      </c>
      <c r="M133" s="52"/>
      <c r="N133" s="52"/>
      <c r="O133" s="52"/>
      <c r="P133" s="52"/>
      <c r="Q133" s="52"/>
      <c r="R133" s="52"/>
      <c r="S133" s="71"/>
      <c r="T133" s="74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</row>
    <row r="134" spans="1:78" s="80" customFormat="1" ht="22.15" customHeight="1" x14ac:dyDescent="0.2">
      <c r="A134" s="83"/>
      <c r="B134" s="159" t="s">
        <v>64</v>
      </c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1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</row>
    <row r="135" spans="1:78" s="78" customFormat="1" ht="22.15" customHeight="1" x14ac:dyDescent="0.2">
      <c r="A135" s="84"/>
      <c r="B135" s="59">
        <v>1</v>
      </c>
      <c r="C135" s="86"/>
      <c r="D135" s="87"/>
      <c r="E135" s="52"/>
      <c r="F135" s="55"/>
      <c r="G135" s="55"/>
      <c r="H135" s="52"/>
      <c r="I135" s="55"/>
      <c r="J135" s="55"/>
      <c r="K135" s="55"/>
      <c r="L135" s="55"/>
      <c r="M135" s="56"/>
      <c r="N135" s="56"/>
      <c r="O135" s="56"/>
      <c r="P135" s="56"/>
      <c r="Q135" s="56"/>
      <c r="R135" s="56"/>
      <c r="S135" s="12"/>
      <c r="T135" s="75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77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</row>
    <row r="136" spans="1:78" s="80" customFormat="1" ht="22.15" customHeight="1" x14ac:dyDescent="0.2">
      <c r="A136" s="83"/>
      <c r="B136" s="159" t="s">
        <v>30</v>
      </c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1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</row>
    <row r="137" spans="1:78" s="78" customFormat="1" ht="22.15" customHeight="1" x14ac:dyDescent="0.2">
      <c r="A137" s="84"/>
      <c r="B137" s="59">
        <v>1</v>
      </c>
      <c r="C137" s="86"/>
      <c r="D137" s="87">
        <v>3</v>
      </c>
      <c r="E137" s="52" t="str">
        <f>IF(B20="","",B20)</f>
        <v>APPL_06</v>
      </c>
      <c r="F137" s="55">
        <f>IF(D20="","",D20)</f>
        <v>1000</v>
      </c>
      <c r="G137" s="55" t="s">
        <v>13</v>
      </c>
      <c r="H137" s="52"/>
      <c r="I137" s="55"/>
      <c r="J137" s="55"/>
      <c r="K137" s="55"/>
      <c r="L137" s="55"/>
      <c r="M137" s="56"/>
      <c r="N137" s="56"/>
      <c r="O137" s="56"/>
      <c r="P137" s="56"/>
      <c r="Q137" s="56"/>
      <c r="R137" s="56"/>
      <c r="S137" s="12"/>
      <c r="T137" s="75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</row>
    <row r="138" spans="1:78" s="80" customFormat="1" ht="22.15" customHeight="1" x14ac:dyDescent="0.2">
      <c r="A138" s="83"/>
      <c r="B138" s="159" t="s">
        <v>31</v>
      </c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1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</row>
    <row r="139" spans="1:78" s="78" customFormat="1" ht="22.15" customHeight="1" x14ac:dyDescent="0.2">
      <c r="A139" s="84"/>
      <c r="B139" s="59">
        <v>1</v>
      </c>
      <c r="C139" s="86"/>
      <c r="D139" s="87">
        <v>3</v>
      </c>
      <c r="E139" s="52" t="str">
        <f>IF(B17="","",B17)</f>
        <v>APPL_03</v>
      </c>
      <c r="F139" s="55" t="str">
        <f>IF(D17="","",D17)</f>
        <v/>
      </c>
      <c r="G139" s="17"/>
      <c r="H139" s="52" t="s">
        <v>185</v>
      </c>
      <c r="I139" s="55">
        <v>60</v>
      </c>
      <c r="J139" s="55"/>
      <c r="K139" s="55"/>
      <c r="L139" s="55"/>
      <c r="M139" s="56"/>
      <c r="N139" s="56"/>
      <c r="O139" s="56"/>
      <c r="P139" s="56"/>
      <c r="Q139" s="56"/>
      <c r="R139" s="56"/>
      <c r="S139" s="12"/>
      <c r="T139" s="75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</row>
    <row r="140" spans="1:78" s="80" customFormat="1" ht="22.15" customHeight="1" x14ac:dyDescent="0.2">
      <c r="A140" s="83"/>
      <c r="B140" s="159" t="s">
        <v>32</v>
      </c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1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</row>
    <row r="141" spans="1:78" s="78" customFormat="1" ht="22.15" customHeight="1" x14ac:dyDescent="0.2">
      <c r="A141" s="84"/>
      <c r="B141" s="59">
        <v>1</v>
      </c>
      <c r="C141" s="86"/>
      <c r="D141" s="87">
        <v>3</v>
      </c>
      <c r="E141" s="52" t="str">
        <f>IF(B16="","",B16)</f>
        <v>APPL_02</v>
      </c>
      <c r="F141" s="55">
        <f>IF(D16="","",D16)</f>
        <v>-5.000000000000001E-3</v>
      </c>
      <c r="G141" s="55" t="s">
        <v>33</v>
      </c>
      <c r="H141" s="52" t="s">
        <v>185</v>
      </c>
      <c r="I141" s="55">
        <v>60</v>
      </c>
      <c r="J141" s="55"/>
      <c r="K141" s="55"/>
      <c r="L141" s="55"/>
      <c r="M141" s="56"/>
      <c r="N141" s="56"/>
      <c r="O141" s="56"/>
      <c r="P141" s="56"/>
      <c r="Q141" s="56"/>
      <c r="R141" s="56"/>
      <c r="S141" s="12"/>
      <c r="T141" s="75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  <c r="BI141" s="77"/>
      <c r="BJ141" s="77"/>
      <c r="BK141" s="77"/>
      <c r="BL141" s="77"/>
      <c r="BM141" s="77"/>
      <c r="BN141" s="77"/>
      <c r="BO141" s="77"/>
      <c r="BP141" s="77"/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</row>
    <row r="142" spans="1:78" s="78" customFormat="1" ht="22.15" customHeight="1" x14ac:dyDescent="0.2">
      <c r="A142" s="84"/>
      <c r="B142" s="59">
        <v>2</v>
      </c>
      <c r="C142" s="86"/>
      <c r="D142" s="87">
        <v>3</v>
      </c>
      <c r="E142" s="52" t="str">
        <f>IF(B17="","",B17)</f>
        <v>APPL_03</v>
      </c>
      <c r="F142" s="55" t="str">
        <f>IF(D17="","",D17)</f>
        <v/>
      </c>
      <c r="G142" s="55" t="s">
        <v>33</v>
      </c>
      <c r="H142" s="52" t="s">
        <v>185</v>
      </c>
      <c r="I142" s="55">
        <v>60</v>
      </c>
      <c r="J142" s="55"/>
      <c r="K142" s="55"/>
      <c r="L142" s="55"/>
      <c r="M142" s="56"/>
      <c r="N142" s="56"/>
      <c r="O142" s="56"/>
      <c r="P142" s="56"/>
      <c r="Q142" s="56"/>
      <c r="R142" s="56"/>
      <c r="S142" s="12"/>
      <c r="T142" s="75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/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77"/>
    </row>
    <row r="143" spans="1:78" s="78" customFormat="1" ht="22.15" customHeight="1" x14ac:dyDescent="0.2">
      <c r="A143" s="84"/>
      <c r="B143" s="59">
        <v>3</v>
      </c>
      <c r="C143" s="86"/>
      <c r="D143" s="87">
        <v>3</v>
      </c>
      <c r="E143" s="52" t="str">
        <f>IF(B18="","",B18)</f>
        <v>APPL_04</v>
      </c>
      <c r="F143" s="55">
        <f>IF(D18="","",D18)</f>
        <v>-9.5000000000000001E-2</v>
      </c>
      <c r="G143" s="55" t="s">
        <v>33</v>
      </c>
      <c r="H143" s="52" t="s">
        <v>185</v>
      </c>
      <c r="I143" s="55">
        <v>60</v>
      </c>
      <c r="J143" s="55"/>
      <c r="K143" s="55"/>
      <c r="L143" s="55"/>
      <c r="M143" s="56"/>
      <c r="N143" s="56"/>
      <c r="O143" s="56"/>
      <c r="P143" s="56"/>
      <c r="Q143" s="56"/>
      <c r="R143" s="56"/>
      <c r="S143" s="12"/>
      <c r="T143" s="75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/>
      <c r="BP143" s="77"/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</row>
    <row r="144" spans="1:78" s="80" customFormat="1" ht="22.15" customHeight="1" x14ac:dyDescent="0.2">
      <c r="A144" s="83"/>
      <c r="B144" s="174" t="s">
        <v>65</v>
      </c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6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</row>
    <row r="145" spans="1:78" s="78" customFormat="1" ht="22.15" customHeight="1" x14ac:dyDescent="0.2">
      <c r="A145" s="84"/>
      <c r="B145" s="59">
        <v>1</v>
      </c>
      <c r="C145" s="86"/>
      <c r="D145" s="87"/>
      <c r="E145" s="52"/>
      <c r="F145" s="55"/>
      <c r="G145" s="55"/>
      <c r="H145" s="52"/>
      <c r="I145" s="55"/>
      <c r="J145" s="55"/>
      <c r="K145" s="55"/>
      <c r="L145" s="55"/>
      <c r="M145" s="56"/>
      <c r="N145" s="56"/>
      <c r="O145" s="56"/>
      <c r="P145" s="56"/>
      <c r="Q145" s="56"/>
      <c r="R145" s="56"/>
      <c r="S145" s="12"/>
      <c r="T145" s="75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  <c r="BM145" s="77"/>
      <c r="BN145" s="77"/>
      <c r="BO145" s="77"/>
      <c r="BP145" s="77"/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</row>
    <row r="146" spans="1:78" s="80" customFormat="1" ht="22.15" customHeight="1" x14ac:dyDescent="0.2">
      <c r="A146" s="83"/>
      <c r="B146" s="174" t="s">
        <v>66</v>
      </c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6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</row>
    <row r="147" spans="1:78" s="78" customFormat="1" ht="22.15" customHeight="1" x14ac:dyDescent="0.2">
      <c r="A147" s="84"/>
      <c r="B147" s="59">
        <v>1</v>
      </c>
      <c r="C147" s="86"/>
      <c r="D147" s="87"/>
      <c r="E147" s="52"/>
      <c r="F147" s="55"/>
      <c r="G147" s="55"/>
      <c r="H147" s="52"/>
      <c r="I147" s="55"/>
      <c r="J147" s="55"/>
      <c r="K147" s="55"/>
      <c r="L147" s="55"/>
      <c r="M147" s="56"/>
      <c r="N147" s="56"/>
      <c r="O147" s="56"/>
      <c r="P147" s="56"/>
      <c r="Q147" s="56"/>
      <c r="R147" s="56"/>
      <c r="S147" s="12"/>
      <c r="T147" s="75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77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</row>
    <row r="148" spans="1:78" s="80" customFormat="1" ht="22.15" customHeight="1" x14ac:dyDescent="0.2">
      <c r="A148" s="83"/>
      <c r="B148" s="174" t="s">
        <v>34</v>
      </c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6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</row>
    <row r="149" spans="1:78" s="78" customFormat="1" ht="22.15" customHeight="1" x14ac:dyDescent="0.2">
      <c r="A149" s="84"/>
      <c r="B149" s="59">
        <v>1</v>
      </c>
      <c r="C149" s="86"/>
      <c r="D149" s="87">
        <v>1</v>
      </c>
      <c r="E149" s="52" t="str">
        <f>IF(B16="","",B16)</f>
        <v>APPL_02</v>
      </c>
      <c r="F149" s="55">
        <f>IF(D16="","",D16)</f>
        <v>-5.000000000000001E-3</v>
      </c>
      <c r="G149" s="55" t="s">
        <v>33</v>
      </c>
      <c r="H149" s="52" t="s">
        <v>185</v>
      </c>
      <c r="I149" s="55">
        <v>60</v>
      </c>
      <c r="J149" s="55"/>
      <c r="K149" s="55"/>
      <c r="L149" s="55"/>
      <c r="M149" s="56"/>
      <c r="N149" s="56"/>
      <c r="O149" s="56"/>
      <c r="P149" s="56"/>
      <c r="Q149" s="56"/>
      <c r="R149" s="56"/>
      <c r="S149" s="12"/>
      <c r="T149" s="75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7"/>
      <c r="BN149" s="77"/>
      <c r="BO149" s="77"/>
      <c r="BP149" s="77"/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</row>
    <row r="150" spans="1:78" s="78" customFormat="1" ht="22.15" customHeight="1" x14ac:dyDescent="0.2">
      <c r="A150" s="84"/>
      <c r="B150" s="59">
        <v>2</v>
      </c>
      <c r="C150" s="86"/>
      <c r="D150" s="87">
        <v>1</v>
      </c>
      <c r="E150" s="52" t="str">
        <f>IF(B17="","",B17)</f>
        <v>APPL_03</v>
      </c>
      <c r="F150" s="55" t="str">
        <f>IF(D17="","",D17)</f>
        <v/>
      </c>
      <c r="G150" s="55" t="s">
        <v>33</v>
      </c>
      <c r="H150" s="52" t="s">
        <v>185</v>
      </c>
      <c r="I150" s="55">
        <v>60</v>
      </c>
      <c r="J150" s="55"/>
      <c r="K150" s="55"/>
      <c r="L150" s="55"/>
      <c r="M150" s="56"/>
      <c r="N150" s="56"/>
      <c r="O150" s="56"/>
      <c r="P150" s="56"/>
      <c r="Q150" s="56"/>
      <c r="R150" s="56"/>
      <c r="S150" s="12"/>
      <c r="T150" s="75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77"/>
      <c r="BQ150" s="77"/>
      <c r="BR150" s="77"/>
      <c r="BS150" s="77"/>
      <c r="BT150" s="77"/>
      <c r="BU150" s="77"/>
      <c r="BV150" s="77"/>
      <c r="BW150" s="77"/>
      <c r="BX150" s="77"/>
      <c r="BY150" s="77"/>
      <c r="BZ150" s="77"/>
    </row>
    <row r="151" spans="1:78" s="78" customFormat="1" ht="22.15" customHeight="1" x14ac:dyDescent="0.2">
      <c r="A151" s="84"/>
      <c r="B151" s="59">
        <v>3</v>
      </c>
      <c r="C151" s="86"/>
      <c r="D151" s="87">
        <v>1</v>
      </c>
      <c r="E151" s="52" t="str">
        <f>IF(B18="","",B18)</f>
        <v>APPL_04</v>
      </c>
      <c r="F151" s="55">
        <f>IF(D18="","",D18)</f>
        <v>-9.5000000000000001E-2</v>
      </c>
      <c r="G151" s="55" t="s">
        <v>33</v>
      </c>
      <c r="H151" s="52" t="s">
        <v>185</v>
      </c>
      <c r="I151" s="55">
        <v>60</v>
      </c>
      <c r="J151" s="55"/>
      <c r="K151" s="55"/>
      <c r="L151" s="55"/>
      <c r="M151" s="56"/>
      <c r="N151" s="56"/>
      <c r="O151" s="56"/>
      <c r="P151" s="56"/>
      <c r="Q151" s="56"/>
      <c r="R151" s="56"/>
      <c r="S151" s="12"/>
      <c r="T151" s="75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77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</row>
    <row r="152" spans="1:78" s="80" customFormat="1" ht="22.15" customHeight="1" x14ac:dyDescent="0.2">
      <c r="A152" s="83"/>
      <c r="B152" s="174" t="s">
        <v>67</v>
      </c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6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</row>
    <row r="153" spans="1:78" s="78" customFormat="1" ht="22.15" customHeight="1" x14ac:dyDescent="0.2">
      <c r="A153" s="84"/>
      <c r="B153" s="59">
        <v>1</v>
      </c>
      <c r="C153" s="86"/>
      <c r="D153" s="87"/>
      <c r="E153" s="52"/>
      <c r="F153" s="55"/>
      <c r="G153" s="55"/>
      <c r="H153" s="52"/>
      <c r="I153" s="55"/>
      <c r="J153" s="55"/>
      <c r="K153" s="55"/>
      <c r="L153" s="55"/>
      <c r="M153" s="56"/>
      <c r="N153" s="56"/>
      <c r="O153" s="56"/>
      <c r="P153" s="56"/>
      <c r="Q153" s="56"/>
      <c r="R153" s="56"/>
      <c r="S153" s="12"/>
      <c r="T153" s="75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7"/>
      <c r="BN153" s="77"/>
      <c r="BO153" s="77"/>
      <c r="BP153" s="77"/>
      <c r="BQ153" s="77"/>
      <c r="BR153" s="77"/>
      <c r="BS153" s="77"/>
      <c r="BT153" s="77"/>
      <c r="BU153" s="77"/>
      <c r="BV153" s="77"/>
      <c r="BW153" s="77"/>
      <c r="BX153" s="77"/>
      <c r="BY153" s="77"/>
      <c r="BZ153" s="77"/>
    </row>
    <row r="154" spans="1:78" s="80" customFormat="1" ht="22.15" customHeight="1" x14ac:dyDescent="0.2">
      <c r="A154" s="83"/>
      <c r="B154" s="174" t="s">
        <v>35</v>
      </c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6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</row>
    <row r="155" spans="1:78" s="78" customFormat="1" ht="22.15" customHeight="1" x14ac:dyDescent="0.2">
      <c r="A155" s="84"/>
      <c r="B155" s="59">
        <v>1</v>
      </c>
      <c r="C155" s="86"/>
      <c r="D155" s="87">
        <v>1</v>
      </c>
      <c r="E155" s="52" t="str">
        <f>IF(B17="","",B17)</f>
        <v>APPL_03</v>
      </c>
      <c r="F155" s="55" t="str">
        <f>IF(D17="","",D17)</f>
        <v/>
      </c>
      <c r="G155" s="17"/>
      <c r="H155" s="52" t="s">
        <v>185</v>
      </c>
      <c r="I155" s="55">
        <v>60</v>
      </c>
      <c r="J155" s="55"/>
      <c r="K155" s="55"/>
      <c r="L155" s="55"/>
      <c r="M155" s="56"/>
      <c r="N155" s="56"/>
      <c r="O155" s="56"/>
      <c r="P155" s="56"/>
      <c r="Q155" s="56"/>
      <c r="R155" s="56"/>
      <c r="S155" s="12"/>
      <c r="T155" s="75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  <c r="BM155" s="77"/>
      <c r="BN155" s="77"/>
      <c r="BO155" s="77"/>
      <c r="BP155" s="77"/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</row>
    <row r="156" spans="1:78" s="80" customFormat="1" ht="22.15" customHeight="1" x14ac:dyDescent="0.2">
      <c r="A156" s="83"/>
      <c r="B156" s="174" t="s">
        <v>36</v>
      </c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6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</row>
    <row r="157" spans="1:78" s="78" customFormat="1" ht="22.15" customHeight="1" x14ac:dyDescent="0.2">
      <c r="A157" s="84"/>
      <c r="B157" s="59">
        <v>1</v>
      </c>
      <c r="C157" s="86"/>
      <c r="D157" s="87">
        <v>1</v>
      </c>
      <c r="E157" s="52" t="str">
        <f>IF(B17="","",B17)</f>
        <v>APPL_03</v>
      </c>
      <c r="F157" s="55" t="str">
        <f>IF(D17="","",D17)</f>
        <v/>
      </c>
      <c r="G157" s="17"/>
      <c r="H157" s="52" t="s">
        <v>185</v>
      </c>
      <c r="I157" s="55">
        <v>60</v>
      </c>
      <c r="J157" s="55"/>
      <c r="K157" s="55"/>
      <c r="L157" s="55"/>
      <c r="M157" s="56"/>
      <c r="N157" s="56"/>
      <c r="O157" s="56"/>
      <c r="P157" s="56"/>
      <c r="Q157" s="56"/>
      <c r="R157" s="56"/>
      <c r="S157" s="12"/>
      <c r="T157" s="75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  <c r="BM157" s="77"/>
      <c r="BN157" s="77"/>
      <c r="BO157" s="77"/>
      <c r="BP157" s="77"/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</row>
    <row r="158" spans="1:78" s="80" customFormat="1" ht="22.15" customHeight="1" x14ac:dyDescent="0.2">
      <c r="A158" s="83"/>
      <c r="B158" s="174" t="s">
        <v>37</v>
      </c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6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</row>
    <row r="159" spans="1:78" s="78" customFormat="1" ht="22.15" customHeight="1" x14ac:dyDescent="0.2">
      <c r="A159" s="84"/>
      <c r="B159" s="59">
        <v>1</v>
      </c>
      <c r="C159" s="86"/>
      <c r="D159" s="87"/>
      <c r="E159" s="52"/>
      <c r="F159" s="55"/>
      <c r="G159" s="55"/>
      <c r="H159" s="52"/>
      <c r="I159" s="55"/>
      <c r="J159" s="55">
        <v>1</v>
      </c>
      <c r="K159" s="55" t="str">
        <f>IF(B27="","",B27)</f>
        <v>FPAPL_02</v>
      </c>
      <c r="L159" s="55">
        <f>IF(D27="","",D27)</f>
        <v>5.000000000000001E-3</v>
      </c>
      <c r="M159" s="56"/>
      <c r="N159" s="56"/>
      <c r="O159" s="56"/>
      <c r="P159" s="56"/>
      <c r="Q159" s="56"/>
      <c r="R159" s="56"/>
      <c r="S159" s="12"/>
      <c r="T159" s="75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77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</row>
    <row r="160" spans="1:78" s="78" customFormat="1" ht="22.15" customHeight="1" x14ac:dyDescent="0.2">
      <c r="A160" s="84"/>
      <c r="B160" s="59">
        <v>2</v>
      </c>
      <c r="C160" s="86"/>
      <c r="D160" s="87"/>
      <c r="E160" s="52"/>
      <c r="F160" s="55"/>
      <c r="G160" s="55"/>
      <c r="H160" s="52"/>
      <c r="I160" s="55"/>
      <c r="J160" s="55">
        <v>1</v>
      </c>
      <c r="K160" s="55" t="str">
        <f>IF(B28="","",B28)</f>
        <v>FPAPL_03</v>
      </c>
      <c r="L160" s="55" t="str">
        <f>IF(D28="","",D28)</f>
        <v/>
      </c>
      <c r="M160" s="56"/>
      <c r="N160" s="56"/>
      <c r="O160" s="56"/>
      <c r="P160" s="56"/>
      <c r="Q160" s="56"/>
      <c r="R160" s="56"/>
      <c r="S160" s="12"/>
      <c r="T160" s="75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77"/>
      <c r="BQ160" s="77"/>
      <c r="BR160" s="77"/>
      <c r="BS160" s="77"/>
      <c r="BT160" s="77"/>
      <c r="BU160" s="77"/>
      <c r="BV160" s="77"/>
      <c r="BW160" s="77"/>
      <c r="BX160" s="77"/>
      <c r="BY160" s="77"/>
      <c r="BZ160" s="77"/>
    </row>
    <row r="161" spans="1:78" s="78" customFormat="1" ht="22.15" customHeight="1" x14ac:dyDescent="0.2">
      <c r="A161" s="84"/>
      <c r="B161" s="59">
        <v>3</v>
      </c>
      <c r="C161" s="86"/>
      <c r="D161" s="87"/>
      <c r="E161" s="52"/>
      <c r="F161" s="55"/>
      <c r="G161" s="55"/>
      <c r="H161" s="52"/>
      <c r="I161" s="55"/>
      <c r="J161" s="55">
        <v>1</v>
      </c>
      <c r="K161" s="55" t="str">
        <f>IF(B29="","",B29)</f>
        <v>FPAPL_04</v>
      </c>
      <c r="L161" s="55">
        <f>IF(D29="","",D29)</f>
        <v>9.5000000000000001E-2</v>
      </c>
      <c r="M161" s="56"/>
      <c r="N161" s="56"/>
      <c r="O161" s="56"/>
      <c r="P161" s="56"/>
      <c r="Q161" s="56"/>
      <c r="R161" s="56"/>
      <c r="S161" s="12"/>
      <c r="T161" s="75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7"/>
      <c r="BN161" s="77"/>
      <c r="BO161" s="77"/>
      <c r="BP161" s="77"/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</row>
    <row r="162" spans="1:78" s="80" customFormat="1" ht="22.15" customHeight="1" x14ac:dyDescent="0.2">
      <c r="A162" s="83"/>
      <c r="B162" s="174" t="s">
        <v>38</v>
      </c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6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</row>
    <row r="163" spans="1:78" s="78" customFormat="1" ht="22.15" customHeight="1" x14ac:dyDescent="0.2">
      <c r="A163" s="84"/>
      <c r="B163" s="59">
        <v>1</v>
      </c>
      <c r="C163" s="86"/>
      <c r="D163" s="87">
        <v>3</v>
      </c>
      <c r="E163" s="52" t="str">
        <f>IF(B20="","",B20)</f>
        <v>APPL_06</v>
      </c>
      <c r="F163" s="55">
        <f>IF(D20="","",D20)</f>
        <v>1000</v>
      </c>
      <c r="G163" s="17"/>
      <c r="H163" s="52"/>
      <c r="I163" s="55"/>
      <c r="J163" s="55"/>
      <c r="K163" s="55"/>
      <c r="L163" s="55"/>
      <c r="M163" s="56"/>
      <c r="N163" s="56"/>
      <c r="O163" s="56"/>
      <c r="P163" s="56"/>
      <c r="Q163" s="56"/>
      <c r="R163" s="56"/>
      <c r="S163" s="12"/>
      <c r="T163" s="75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  <c r="BQ163" s="77"/>
      <c r="BR163" s="77"/>
      <c r="BS163" s="77"/>
      <c r="BT163" s="77"/>
      <c r="BU163" s="77"/>
      <c r="BV163" s="77"/>
      <c r="BW163" s="77"/>
      <c r="BX163" s="77"/>
      <c r="BY163" s="77"/>
      <c r="BZ163" s="77"/>
    </row>
    <row r="164" spans="1:78" s="80" customFormat="1" ht="22.15" customHeight="1" x14ac:dyDescent="0.2">
      <c r="A164" s="83"/>
      <c r="B164" s="174" t="s">
        <v>39</v>
      </c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6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</row>
    <row r="165" spans="1:78" s="78" customFormat="1" ht="22.15" customHeight="1" x14ac:dyDescent="0.2">
      <c r="A165" s="84"/>
      <c r="B165" s="59">
        <v>1</v>
      </c>
      <c r="C165" s="86"/>
      <c r="D165" s="87">
        <v>3</v>
      </c>
      <c r="E165" s="52" t="str">
        <f>IF(B16="","",B16)</f>
        <v>APPL_02</v>
      </c>
      <c r="F165" s="55">
        <f>IF(D16="","",D16)</f>
        <v>-5.000000000000001E-3</v>
      </c>
      <c r="G165" s="55" t="s">
        <v>16</v>
      </c>
      <c r="H165" s="52"/>
      <c r="I165" s="55"/>
      <c r="J165" s="55"/>
      <c r="K165" s="55"/>
      <c r="L165" s="55"/>
      <c r="M165" s="56"/>
      <c r="N165" s="56"/>
      <c r="O165" s="56"/>
      <c r="P165" s="56"/>
      <c r="Q165" s="56"/>
      <c r="R165" s="56"/>
      <c r="S165" s="12"/>
      <c r="T165" s="75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</row>
    <row r="166" spans="1:78" s="78" customFormat="1" ht="22.15" customHeight="1" x14ac:dyDescent="0.2">
      <c r="A166" s="84"/>
      <c r="B166" s="59">
        <v>2</v>
      </c>
      <c r="C166" s="86"/>
      <c r="D166" s="87">
        <v>3</v>
      </c>
      <c r="E166" s="52" t="str">
        <f>IF(B17="","",B17)</f>
        <v>APPL_03</v>
      </c>
      <c r="F166" s="55" t="str">
        <f>IF(D17="","",D17)</f>
        <v/>
      </c>
      <c r="G166" s="55" t="s">
        <v>16</v>
      </c>
      <c r="H166" s="52"/>
      <c r="I166" s="55"/>
      <c r="J166" s="55"/>
      <c r="K166" s="55"/>
      <c r="L166" s="55"/>
      <c r="M166" s="56"/>
      <c r="N166" s="56"/>
      <c r="O166" s="56"/>
      <c r="P166" s="56"/>
      <c r="Q166" s="56"/>
      <c r="R166" s="56"/>
      <c r="S166" s="12"/>
      <c r="T166" s="75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7"/>
      <c r="BN166" s="77"/>
      <c r="BO166" s="77"/>
      <c r="BP166" s="77"/>
      <c r="BQ166" s="77"/>
      <c r="BR166" s="77"/>
      <c r="BS166" s="77"/>
      <c r="BT166" s="77"/>
      <c r="BU166" s="77"/>
      <c r="BV166" s="77"/>
      <c r="BW166" s="77"/>
      <c r="BX166" s="77"/>
      <c r="BY166" s="77"/>
      <c r="BZ166" s="77"/>
    </row>
    <row r="167" spans="1:78" s="78" customFormat="1" ht="22.15" customHeight="1" x14ac:dyDescent="0.2">
      <c r="A167" s="84"/>
      <c r="B167" s="59">
        <v>3</v>
      </c>
      <c r="C167" s="86"/>
      <c r="D167" s="87">
        <v>3</v>
      </c>
      <c r="E167" s="52" t="str">
        <f>IF(B18="","",B18)</f>
        <v>APPL_04</v>
      </c>
      <c r="F167" s="55">
        <f t="shared" ref="F167" si="0">IF(D18="","",D18)</f>
        <v>-9.5000000000000001E-2</v>
      </c>
      <c r="G167" s="55" t="s">
        <v>16</v>
      </c>
      <c r="H167" s="52"/>
      <c r="I167" s="55"/>
      <c r="J167" s="55"/>
      <c r="K167" s="55"/>
      <c r="L167" s="55"/>
      <c r="M167" s="56"/>
      <c r="N167" s="56"/>
      <c r="O167" s="56"/>
      <c r="P167" s="56"/>
      <c r="Q167" s="56"/>
      <c r="R167" s="56"/>
      <c r="S167" s="12"/>
      <c r="T167" s="75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77"/>
      <c r="BQ167" s="77"/>
      <c r="BR167" s="77"/>
      <c r="BS167" s="77"/>
      <c r="BT167" s="77"/>
      <c r="BU167" s="77"/>
      <c r="BV167" s="77"/>
      <c r="BW167" s="77"/>
      <c r="BX167" s="77"/>
      <c r="BY167" s="77"/>
      <c r="BZ167" s="77"/>
    </row>
    <row r="168" spans="1:78" s="80" customFormat="1" ht="22.15" customHeight="1" x14ac:dyDescent="0.2">
      <c r="A168" s="83"/>
      <c r="B168" s="174" t="s">
        <v>40</v>
      </c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6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</row>
    <row r="169" spans="1:78" s="78" customFormat="1" ht="22.15" customHeight="1" x14ac:dyDescent="0.2">
      <c r="A169" s="84"/>
      <c r="B169" s="59">
        <v>1</v>
      </c>
      <c r="C169" s="86"/>
      <c r="D169" s="87">
        <v>3</v>
      </c>
      <c r="E169" s="52" t="str">
        <f>IF(B16="","",B16)</f>
        <v>APPL_02</v>
      </c>
      <c r="F169" s="55">
        <f>IF(D16="","",D16)</f>
        <v>-5.000000000000001E-3</v>
      </c>
      <c r="G169" s="55" t="s">
        <v>13</v>
      </c>
      <c r="H169" s="52" t="s">
        <v>184</v>
      </c>
      <c r="I169" s="55" t="s">
        <v>51</v>
      </c>
      <c r="J169" s="55"/>
      <c r="K169" s="55"/>
      <c r="L169" s="55"/>
      <c r="M169" s="56"/>
      <c r="N169" s="56"/>
      <c r="O169" s="56"/>
      <c r="P169" s="56"/>
      <c r="Q169" s="56"/>
      <c r="R169" s="56"/>
      <c r="S169" s="12"/>
      <c r="T169" s="75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7"/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</row>
    <row r="170" spans="1:78" s="78" customFormat="1" ht="22.15" customHeight="1" x14ac:dyDescent="0.2">
      <c r="A170" s="84"/>
      <c r="B170" s="59">
        <v>2</v>
      </c>
      <c r="C170" s="86"/>
      <c r="D170" s="87">
        <v>3</v>
      </c>
      <c r="E170" s="52" t="str">
        <f>IF(B17="","",B17)</f>
        <v>APPL_03</v>
      </c>
      <c r="F170" s="55" t="str">
        <f>IF(D17="","",D17)</f>
        <v/>
      </c>
      <c r="G170" s="55" t="s">
        <v>13</v>
      </c>
      <c r="H170" s="52" t="s">
        <v>184</v>
      </c>
      <c r="I170" s="55" t="s">
        <v>51</v>
      </c>
      <c r="J170" s="55"/>
      <c r="K170" s="55"/>
      <c r="L170" s="55"/>
      <c r="M170" s="56"/>
      <c r="N170" s="56"/>
      <c r="O170" s="56"/>
      <c r="P170" s="56"/>
      <c r="Q170" s="56"/>
      <c r="R170" s="56"/>
      <c r="S170" s="12"/>
      <c r="T170" s="75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  <c r="BQ170" s="77"/>
      <c r="BR170" s="77"/>
      <c r="BS170" s="77"/>
      <c r="BT170" s="77"/>
      <c r="BU170" s="77"/>
      <c r="BV170" s="77"/>
      <c r="BW170" s="77"/>
      <c r="BX170" s="77"/>
      <c r="BY170" s="77"/>
      <c r="BZ170" s="77"/>
    </row>
    <row r="171" spans="1:78" s="78" customFormat="1" ht="22.15" customHeight="1" x14ac:dyDescent="0.2">
      <c r="A171" s="84"/>
      <c r="B171" s="59">
        <v>3</v>
      </c>
      <c r="C171" s="86"/>
      <c r="D171" s="87">
        <v>3</v>
      </c>
      <c r="E171" s="52" t="str">
        <f>IF(B18="","",B18)</f>
        <v>APPL_04</v>
      </c>
      <c r="F171" s="55">
        <f>IF(D18="","",D18)</f>
        <v>-9.5000000000000001E-2</v>
      </c>
      <c r="G171" s="55" t="s">
        <v>13</v>
      </c>
      <c r="H171" s="52" t="s">
        <v>184</v>
      </c>
      <c r="I171" s="55" t="s">
        <v>51</v>
      </c>
      <c r="J171" s="55"/>
      <c r="K171" s="55"/>
      <c r="L171" s="55"/>
      <c r="M171" s="56"/>
      <c r="N171" s="56"/>
      <c r="O171" s="56"/>
      <c r="P171" s="56"/>
      <c r="Q171" s="56"/>
      <c r="R171" s="56"/>
      <c r="S171" s="12"/>
      <c r="T171" s="75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  <c r="BQ171" s="77"/>
      <c r="BR171" s="77"/>
      <c r="BS171" s="77"/>
      <c r="BT171" s="77"/>
      <c r="BU171" s="77"/>
      <c r="BV171" s="77"/>
      <c r="BW171" s="77"/>
      <c r="BX171" s="77"/>
      <c r="BY171" s="77"/>
      <c r="BZ171" s="77"/>
    </row>
    <row r="172" spans="1:78" s="80" customFormat="1" ht="22.15" customHeight="1" x14ac:dyDescent="0.2">
      <c r="A172" s="83"/>
      <c r="B172" s="174" t="s">
        <v>68</v>
      </c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6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</row>
    <row r="173" spans="1:78" s="78" customFormat="1" ht="22.15" customHeight="1" x14ac:dyDescent="0.2">
      <c r="A173" s="84"/>
      <c r="B173" s="59">
        <v>1</v>
      </c>
      <c r="C173" s="86"/>
      <c r="D173" s="87"/>
      <c r="E173" s="52"/>
      <c r="F173" s="55"/>
      <c r="G173" s="55"/>
      <c r="H173" s="52"/>
      <c r="I173" s="55"/>
      <c r="J173" s="55"/>
      <c r="K173" s="55"/>
      <c r="L173" s="55"/>
      <c r="M173" s="56">
        <v>1</v>
      </c>
      <c r="N173" s="56" t="str">
        <f>IF(B36="","",B36)</f>
        <v>FPAPL_DUR_02</v>
      </c>
      <c r="O173" s="56" t="str">
        <f>IF(D36="","",D36)</f>
        <v/>
      </c>
      <c r="P173" s="56"/>
      <c r="Q173" s="56"/>
      <c r="R173" s="56"/>
      <c r="S173" s="12"/>
      <c r="T173" s="75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/>
      <c r="BN173" s="77"/>
      <c r="BO173" s="77"/>
      <c r="BP173" s="77"/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</row>
    <row r="174" spans="1:78" s="80" customFormat="1" ht="22.15" customHeight="1" x14ac:dyDescent="0.2">
      <c r="A174" s="83"/>
      <c r="B174" s="174" t="s">
        <v>69</v>
      </c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6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</row>
    <row r="175" spans="1:78" s="78" customFormat="1" ht="22.15" customHeight="1" x14ac:dyDescent="0.2">
      <c r="A175" s="84"/>
      <c r="B175" s="59">
        <v>1</v>
      </c>
      <c r="C175" s="86"/>
      <c r="D175" s="87"/>
      <c r="E175" s="52"/>
      <c r="F175" s="55"/>
      <c r="G175" s="55"/>
      <c r="H175" s="52"/>
      <c r="I175" s="55"/>
      <c r="J175" s="55"/>
      <c r="K175" s="55"/>
      <c r="L175" s="55"/>
      <c r="M175" s="56"/>
      <c r="N175" s="56"/>
      <c r="O175" s="56"/>
      <c r="P175" s="56"/>
      <c r="Q175" s="56"/>
      <c r="R175" s="56"/>
      <c r="S175" s="12"/>
      <c r="T175" s="75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  <c r="BM175" s="77"/>
      <c r="BN175" s="77"/>
      <c r="BO175" s="77"/>
      <c r="BP175" s="77"/>
      <c r="BQ175" s="77"/>
      <c r="BR175" s="77"/>
      <c r="BS175" s="77"/>
      <c r="BT175" s="77"/>
      <c r="BU175" s="77"/>
      <c r="BV175" s="77"/>
      <c r="BW175" s="77"/>
      <c r="BX175" s="77"/>
      <c r="BY175" s="77"/>
      <c r="BZ175" s="77"/>
    </row>
    <row r="176" spans="1:78" s="80" customFormat="1" ht="22.15" customHeight="1" x14ac:dyDescent="0.2">
      <c r="A176" s="83"/>
      <c r="B176" s="174" t="s">
        <v>41</v>
      </c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6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  <c r="BM176" s="79"/>
      <c r="BN176" s="79"/>
      <c r="BO176" s="79"/>
      <c r="BP176" s="79"/>
      <c r="BQ176" s="79"/>
      <c r="BR176" s="79"/>
      <c r="BS176" s="79"/>
      <c r="BT176" s="79"/>
      <c r="BU176" s="79"/>
      <c r="BV176" s="79"/>
      <c r="BW176" s="79"/>
      <c r="BX176" s="79"/>
      <c r="BY176" s="79"/>
      <c r="BZ176" s="79"/>
    </row>
    <row r="177" spans="1:78" s="78" customFormat="1" ht="22.15" customHeight="1" x14ac:dyDescent="0.2">
      <c r="A177" s="84"/>
      <c r="B177" s="59">
        <v>1</v>
      </c>
      <c r="C177" s="86"/>
      <c r="D177" s="87">
        <v>3</v>
      </c>
      <c r="E177" s="52" t="str">
        <f>IF(B20="","",B20)</f>
        <v>APPL_06</v>
      </c>
      <c r="F177" s="55">
        <f>IF(D20="","",D20)</f>
        <v>1000</v>
      </c>
      <c r="G177" s="17"/>
      <c r="H177" s="52"/>
      <c r="I177" s="55"/>
      <c r="J177" s="55"/>
      <c r="K177" s="55"/>
      <c r="L177" s="55"/>
      <c r="M177" s="56"/>
      <c r="N177" s="56"/>
      <c r="O177" s="56"/>
      <c r="P177" s="56"/>
      <c r="Q177" s="56"/>
      <c r="R177" s="56"/>
      <c r="S177" s="12"/>
      <c r="T177" s="75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  <c r="BM177" s="77"/>
      <c r="BN177" s="77"/>
      <c r="BO177" s="77"/>
      <c r="BP177" s="77"/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</row>
    <row r="178" spans="1:78" s="80" customFormat="1" ht="22.15" customHeight="1" x14ac:dyDescent="0.2">
      <c r="A178" s="83"/>
      <c r="B178" s="174" t="s">
        <v>42</v>
      </c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6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</row>
    <row r="179" spans="1:78" s="78" customFormat="1" ht="22.15" customHeight="1" x14ac:dyDescent="0.2">
      <c r="A179" s="84"/>
      <c r="B179" s="59">
        <v>1</v>
      </c>
      <c r="C179" s="86"/>
      <c r="D179" s="87">
        <v>3</v>
      </c>
      <c r="E179" s="52" t="str">
        <f>IF(B17="","",B17)</f>
        <v>APPL_03</v>
      </c>
      <c r="F179" s="55" t="str">
        <f>IF(D17="","",D17)</f>
        <v/>
      </c>
      <c r="G179" s="17"/>
      <c r="H179" s="52"/>
      <c r="I179" s="55"/>
      <c r="J179" s="55"/>
      <c r="K179" s="55"/>
      <c r="L179" s="55"/>
      <c r="M179" s="56"/>
      <c r="N179" s="56"/>
      <c r="O179" s="56"/>
      <c r="P179" s="56"/>
      <c r="Q179" s="56"/>
      <c r="R179" s="56"/>
      <c r="S179" s="12"/>
      <c r="T179" s="75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  <c r="BI179" s="77"/>
      <c r="BJ179" s="77"/>
      <c r="BK179" s="77"/>
      <c r="BL179" s="77"/>
      <c r="BM179" s="77"/>
      <c r="BN179" s="77"/>
      <c r="BO179" s="77"/>
      <c r="BP179" s="77"/>
      <c r="BQ179" s="77"/>
      <c r="BR179" s="77"/>
      <c r="BS179" s="77"/>
      <c r="BT179" s="77"/>
      <c r="BU179" s="77"/>
      <c r="BV179" s="77"/>
      <c r="BW179" s="77"/>
      <c r="BX179" s="77"/>
      <c r="BY179" s="77"/>
      <c r="BZ179" s="77"/>
    </row>
    <row r="180" spans="1:78" s="80" customFormat="1" ht="22.15" customHeight="1" x14ac:dyDescent="0.2">
      <c r="A180" s="83"/>
      <c r="B180" s="174" t="s">
        <v>43</v>
      </c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6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</row>
    <row r="181" spans="1:78" s="78" customFormat="1" ht="22.15" customHeight="1" x14ac:dyDescent="0.2">
      <c r="A181" s="84"/>
      <c r="B181" s="59">
        <v>1</v>
      </c>
      <c r="C181" s="86"/>
      <c r="D181" s="87">
        <v>3</v>
      </c>
      <c r="E181" s="52" t="str">
        <f>IF(B16="","",B16)</f>
        <v>APPL_02</v>
      </c>
      <c r="F181" s="55">
        <f>IF(D16="","",D16)</f>
        <v>-5.000000000000001E-3</v>
      </c>
      <c r="G181" s="55" t="s">
        <v>13</v>
      </c>
      <c r="H181" s="52" t="s">
        <v>184</v>
      </c>
      <c r="I181" s="55" t="s">
        <v>51</v>
      </c>
      <c r="J181" s="55"/>
      <c r="K181" s="55"/>
      <c r="L181" s="55"/>
      <c r="M181" s="56"/>
      <c r="N181" s="56"/>
      <c r="O181" s="56"/>
      <c r="P181" s="56"/>
      <c r="Q181" s="56"/>
      <c r="R181" s="56"/>
      <c r="S181" s="12"/>
      <c r="T181" s="75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</row>
    <row r="182" spans="1:78" s="78" customFormat="1" ht="22.15" customHeight="1" x14ac:dyDescent="0.2">
      <c r="A182" s="84"/>
      <c r="B182" s="59">
        <v>2</v>
      </c>
      <c r="C182" s="86"/>
      <c r="D182" s="87">
        <v>3</v>
      </c>
      <c r="E182" s="52" t="str">
        <f>IF(B17="","",B17)</f>
        <v>APPL_03</v>
      </c>
      <c r="F182" s="55" t="str">
        <f>IF(D17="","",D17)</f>
        <v/>
      </c>
      <c r="G182" s="55" t="s">
        <v>13</v>
      </c>
      <c r="H182" s="52" t="s">
        <v>184</v>
      </c>
      <c r="I182" s="55" t="s">
        <v>51</v>
      </c>
      <c r="J182" s="55"/>
      <c r="K182" s="55"/>
      <c r="L182" s="55"/>
      <c r="M182" s="56"/>
      <c r="N182" s="56"/>
      <c r="O182" s="56"/>
      <c r="P182" s="56"/>
      <c r="Q182" s="56"/>
      <c r="R182" s="56"/>
      <c r="S182" s="12"/>
      <c r="T182" s="75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</row>
    <row r="183" spans="1:78" s="78" customFormat="1" ht="22.15" customHeight="1" x14ac:dyDescent="0.2">
      <c r="A183" s="84"/>
      <c r="B183" s="59">
        <v>3</v>
      </c>
      <c r="C183" s="86"/>
      <c r="D183" s="87">
        <v>3</v>
      </c>
      <c r="E183" s="52" t="str">
        <f>IF(B18="","",B18)</f>
        <v>APPL_04</v>
      </c>
      <c r="F183" s="55">
        <f t="shared" ref="F183" si="1">IF(D18="","",D18)</f>
        <v>-9.5000000000000001E-2</v>
      </c>
      <c r="G183" s="55" t="s">
        <v>13</v>
      </c>
      <c r="H183" s="52" t="s">
        <v>184</v>
      </c>
      <c r="I183" s="55" t="s">
        <v>51</v>
      </c>
      <c r="J183" s="55"/>
      <c r="K183" s="55"/>
      <c r="L183" s="55"/>
      <c r="M183" s="56"/>
      <c r="N183" s="56"/>
      <c r="O183" s="56"/>
      <c r="P183" s="56"/>
      <c r="Q183" s="56"/>
      <c r="R183" s="56"/>
      <c r="S183" s="12"/>
      <c r="T183" s="75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</row>
    <row r="184" spans="1:78" s="80" customFormat="1" ht="22.15" customHeight="1" x14ac:dyDescent="0.2">
      <c r="A184" s="83"/>
      <c r="B184" s="174" t="s">
        <v>44</v>
      </c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6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</row>
    <row r="185" spans="1:78" s="78" customFormat="1" ht="22.15" customHeight="1" x14ac:dyDescent="0.2">
      <c r="A185" s="84"/>
      <c r="B185" s="88" t="s">
        <v>47</v>
      </c>
      <c r="C185" s="86"/>
      <c r="D185" s="87">
        <v>3</v>
      </c>
      <c r="E185" s="52" t="str">
        <f>IF(B16="","",B16)</f>
        <v>APPL_02</v>
      </c>
      <c r="F185" s="55">
        <f>IF(D16="","",D16)</f>
        <v>-5.000000000000001E-3</v>
      </c>
      <c r="G185" s="55" t="s">
        <v>16</v>
      </c>
      <c r="H185" s="52"/>
      <c r="I185" s="55"/>
      <c r="J185" s="55"/>
      <c r="K185" s="55"/>
      <c r="L185" s="55"/>
      <c r="M185" s="56"/>
      <c r="N185" s="56"/>
      <c r="O185" s="56"/>
      <c r="P185" s="56"/>
      <c r="Q185" s="56"/>
      <c r="R185" s="56"/>
      <c r="S185" s="12"/>
      <c r="T185" s="75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</row>
    <row r="186" spans="1:78" s="78" customFormat="1" ht="22.15" customHeight="1" x14ac:dyDescent="0.2">
      <c r="A186" s="84"/>
      <c r="B186" s="88" t="s">
        <v>48</v>
      </c>
      <c r="C186" s="86"/>
      <c r="D186" s="87">
        <v>4</v>
      </c>
      <c r="E186" s="52" t="str">
        <f>IF(B17="","",B17)</f>
        <v>APPL_03</v>
      </c>
      <c r="F186" s="55" t="str">
        <f>IF(D17="","",D17)</f>
        <v/>
      </c>
      <c r="G186" s="17"/>
      <c r="H186" s="71"/>
      <c r="I186" s="17"/>
      <c r="J186" s="55"/>
      <c r="K186" s="55"/>
      <c r="L186" s="55"/>
      <c r="M186" s="56"/>
      <c r="N186" s="56"/>
      <c r="O186" s="56"/>
      <c r="P186" s="56"/>
      <c r="Q186" s="56"/>
      <c r="R186" s="56"/>
      <c r="S186" s="12"/>
      <c r="T186" s="75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</row>
    <row r="187" spans="1:78" s="78" customFormat="1" ht="22.15" customHeight="1" x14ac:dyDescent="0.2">
      <c r="A187" s="84"/>
      <c r="B187" s="88" t="s">
        <v>49</v>
      </c>
      <c r="C187" s="86"/>
      <c r="D187" s="87">
        <v>3</v>
      </c>
      <c r="E187" s="52" t="str">
        <f>IF(B17="","",B17)</f>
        <v>APPL_03</v>
      </c>
      <c r="F187" s="55" t="str">
        <f>IF(D17="","",D17)</f>
        <v/>
      </c>
      <c r="G187" s="55" t="s">
        <v>16</v>
      </c>
      <c r="H187" s="52"/>
      <c r="I187" s="55"/>
      <c r="J187" s="55"/>
      <c r="K187" s="55"/>
      <c r="L187" s="55"/>
      <c r="M187" s="56"/>
      <c r="N187" s="56"/>
      <c r="O187" s="56"/>
      <c r="P187" s="56"/>
      <c r="Q187" s="56"/>
      <c r="R187" s="56"/>
      <c r="S187" s="12"/>
      <c r="T187" s="75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</row>
    <row r="188" spans="1:78" s="78" customFormat="1" ht="22.15" customHeight="1" x14ac:dyDescent="0.2">
      <c r="A188" s="84"/>
      <c r="B188" s="88" t="s">
        <v>50</v>
      </c>
      <c r="C188" s="86"/>
      <c r="D188" s="87">
        <v>4</v>
      </c>
      <c r="E188" s="52" t="str">
        <f>IF(B16="","",B16)</f>
        <v>APPL_02</v>
      </c>
      <c r="F188" s="55">
        <f>IF(D16="","",D16)</f>
        <v>-5.000000000000001E-3</v>
      </c>
      <c r="G188" s="17"/>
      <c r="H188" s="71"/>
      <c r="I188" s="17"/>
      <c r="J188" s="55"/>
      <c r="K188" s="55"/>
      <c r="L188" s="55"/>
      <c r="M188" s="56"/>
      <c r="N188" s="56"/>
      <c r="O188" s="56"/>
      <c r="P188" s="56"/>
      <c r="Q188" s="56"/>
      <c r="R188" s="56"/>
      <c r="S188" s="12"/>
      <c r="T188" s="75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  <c r="BM188" s="77"/>
      <c r="BN188" s="77"/>
      <c r="BO188" s="77"/>
      <c r="BP188" s="77"/>
      <c r="BQ188" s="77"/>
      <c r="BR188" s="77"/>
      <c r="BS188" s="77"/>
      <c r="BT188" s="77"/>
      <c r="BU188" s="77"/>
      <c r="BV188" s="77"/>
      <c r="BW188" s="77"/>
      <c r="BX188" s="77"/>
      <c r="BY188" s="77"/>
      <c r="BZ188" s="77"/>
    </row>
    <row r="189" spans="1:78" s="80" customFormat="1" ht="22.15" customHeight="1" x14ac:dyDescent="0.2">
      <c r="A189" s="83"/>
      <c r="B189" s="174" t="s">
        <v>45</v>
      </c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6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</row>
    <row r="190" spans="1:78" s="78" customFormat="1" ht="22.15" customHeight="1" x14ac:dyDescent="0.2">
      <c r="A190" s="84"/>
      <c r="B190" s="88" t="s">
        <v>47</v>
      </c>
      <c r="C190" s="86"/>
      <c r="D190" s="87">
        <v>3</v>
      </c>
      <c r="E190" s="52" t="str">
        <f>IF(B16="","",B16)</f>
        <v>APPL_02</v>
      </c>
      <c r="F190" s="55">
        <f>IF(D16="","",D16)</f>
        <v>-5.000000000000001E-3</v>
      </c>
      <c r="G190" s="55" t="s">
        <v>16</v>
      </c>
      <c r="H190" s="52"/>
      <c r="I190" s="55"/>
      <c r="J190" s="55"/>
      <c r="K190" s="55"/>
      <c r="L190" s="55"/>
      <c r="M190" s="56"/>
      <c r="N190" s="56"/>
      <c r="O190" s="56"/>
      <c r="P190" s="56"/>
      <c r="Q190" s="56"/>
      <c r="R190" s="56"/>
      <c r="S190" s="12"/>
      <c r="T190" s="75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77"/>
      <c r="BQ190" s="77"/>
      <c r="BR190" s="77"/>
      <c r="BS190" s="77"/>
      <c r="BT190" s="77"/>
      <c r="BU190" s="77"/>
      <c r="BV190" s="77"/>
      <c r="BW190" s="77"/>
      <c r="BX190" s="77"/>
      <c r="BY190" s="77"/>
      <c r="BZ190" s="77"/>
    </row>
    <row r="191" spans="1:78" s="78" customFormat="1" ht="22.15" customHeight="1" x14ac:dyDescent="0.2">
      <c r="A191" s="84"/>
      <c r="B191" s="88" t="s">
        <v>48</v>
      </c>
      <c r="C191" s="86"/>
      <c r="D191" s="87">
        <v>4</v>
      </c>
      <c r="E191" s="52" t="str">
        <f>IF(B17="","",B17)</f>
        <v>APPL_03</v>
      </c>
      <c r="F191" s="55" t="str">
        <f>IF(D17="","",D17)</f>
        <v/>
      </c>
      <c r="G191" s="17"/>
      <c r="H191" s="71"/>
      <c r="I191" s="17"/>
      <c r="J191" s="55"/>
      <c r="K191" s="55"/>
      <c r="L191" s="55"/>
      <c r="M191" s="56"/>
      <c r="N191" s="56"/>
      <c r="O191" s="56"/>
      <c r="P191" s="56"/>
      <c r="Q191" s="56"/>
      <c r="R191" s="56"/>
      <c r="S191" s="12"/>
      <c r="T191" s="75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  <c r="BM191" s="77"/>
      <c r="BN191" s="77"/>
      <c r="BO191" s="77"/>
      <c r="BP191" s="77"/>
      <c r="BQ191" s="77"/>
      <c r="BR191" s="77"/>
      <c r="BS191" s="77"/>
      <c r="BT191" s="77"/>
      <c r="BU191" s="77"/>
      <c r="BV191" s="77"/>
      <c r="BW191" s="77"/>
      <c r="BX191" s="77"/>
      <c r="BY191" s="77"/>
      <c r="BZ191" s="77"/>
    </row>
    <row r="192" spans="1:78" s="78" customFormat="1" ht="22.15" customHeight="1" x14ac:dyDescent="0.2">
      <c r="A192" s="84"/>
      <c r="B192" s="88" t="s">
        <v>49</v>
      </c>
      <c r="C192" s="86"/>
      <c r="D192" s="87">
        <v>3</v>
      </c>
      <c r="E192" s="52" t="str">
        <f>IF(B17="","",B17)</f>
        <v>APPL_03</v>
      </c>
      <c r="F192" s="55" t="str">
        <f>IF(D17="","",D17)</f>
        <v/>
      </c>
      <c r="G192" s="55" t="s">
        <v>16</v>
      </c>
      <c r="H192" s="52"/>
      <c r="I192" s="55"/>
      <c r="J192" s="55"/>
      <c r="K192" s="55"/>
      <c r="L192" s="55"/>
      <c r="M192" s="56"/>
      <c r="N192" s="56"/>
      <c r="O192" s="56"/>
      <c r="P192" s="56"/>
      <c r="Q192" s="56"/>
      <c r="R192" s="56"/>
      <c r="S192" s="12"/>
      <c r="T192" s="75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/>
      <c r="BP192" s="77"/>
      <c r="BQ192" s="77"/>
      <c r="BR192" s="77"/>
      <c r="BS192" s="77"/>
      <c r="BT192" s="77"/>
      <c r="BU192" s="77"/>
      <c r="BV192" s="77"/>
      <c r="BW192" s="77"/>
      <c r="BX192" s="77"/>
      <c r="BY192" s="77"/>
      <c r="BZ192" s="77"/>
    </row>
    <row r="193" spans="1:78" s="78" customFormat="1" ht="22.15" customHeight="1" x14ac:dyDescent="0.2">
      <c r="A193" s="84"/>
      <c r="B193" s="88" t="s">
        <v>50</v>
      </c>
      <c r="C193" s="86"/>
      <c r="D193" s="87">
        <v>4</v>
      </c>
      <c r="E193" s="52" t="str">
        <f>IF(B16="","",B16)</f>
        <v>APPL_02</v>
      </c>
      <c r="F193" s="55">
        <f>IF(D16="","",D16)</f>
        <v>-5.000000000000001E-3</v>
      </c>
      <c r="G193" s="17"/>
      <c r="H193" s="71"/>
      <c r="I193" s="17"/>
      <c r="J193" s="55"/>
      <c r="K193" s="55"/>
      <c r="L193" s="55"/>
      <c r="M193" s="56"/>
      <c r="N193" s="56"/>
      <c r="O193" s="56"/>
      <c r="P193" s="56"/>
      <c r="Q193" s="56"/>
      <c r="R193" s="56"/>
      <c r="S193" s="12"/>
      <c r="T193" s="75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7"/>
      <c r="BN193" s="77"/>
      <c r="BO193" s="77"/>
      <c r="BP193" s="77"/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</row>
    <row r="194" spans="1:78" s="81" customFormat="1" ht="12.75" x14ac:dyDescent="0.2">
      <c r="A194" s="34"/>
      <c r="B194" s="37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</row>
    <row r="195" spans="1:78" s="81" customFormat="1" ht="12.75" x14ac:dyDescent="0.2">
      <c r="A195" s="34"/>
      <c r="B195" s="37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</row>
    <row r="196" spans="1:78" s="81" customFormat="1" ht="12.75" x14ac:dyDescent="0.2">
      <c r="A196" s="34"/>
      <c r="B196" s="37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</row>
    <row r="197" spans="1:78" s="81" customFormat="1" ht="12.75" x14ac:dyDescent="0.2">
      <c r="A197" s="34"/>
      <c r="B197" s="37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</row>
    <row r="198" spans="1:78" s="81" customFormat="1" ht="12.75" x14ac:dyDescent="0.2">
      <c r="A198" s="34"/>
      <c r="B198" s="37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</row>
    <row r="199" spans="1:78" s="81" customFormat="1" ht="12.75" x14ac:dyDescent="0.2">
      <c r="A199" s="34"/>
      <c r="B199" s="37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</row>
    <row r="200" spans="1:78" s="81" customFormat="1" ht="12.75" x14ac:dyDescent="0.2">
      <c r="A200" s="34"/>
      <c r="B200" s="37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</row>
    <row r="201" spans="1:78" s="81" customFormat="1" ht="12.75" x14ac:dyDescent="0.2">
      <c r="A201" s="34"/>
      <c r="B201" s="37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</row>
    <row r="202" spans="1:78" s="81" customFormat="1" ht="12.75" x14ac:dyDescent="0.2">
      <c r="A202" s="34"/>
      <c r="B202" s="37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</row>
    <row r="203" spans="1:78" s="81" customFormat="1" ht="12.75" x14ac:dyDescent="0.2">
      <c r="A203" s="34"/>
      <c r="B203" s="37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</row>
    <row r="204" spans="1:78" s="81" customFormat="1" ht="12.75" x14ac:dyDescent="0.2">
      <c r="A204" s="34"/>
      <c r="B204" s="37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</row>
    <row r="205" spans="1:78" s="81" customFormat="1" ht="12.75" x14ac:dyDescent="0.2">
      <c r="A205" s="34"/>
      <c r="B205" s="37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</row>
    <row r="206" spans="1:78" s="81" customFormat="1" ht="12.75" x14ac:dyDescent="0.2">
      <c r="A206" s="34"/>
      <c r="B206" s="37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</row>
    <row r="207" spans="1:78" s="81" customFormat="1" ht="12.75" x14ac:dyDescent="0.2">
      <c r="A207" s="34"/>
      <c r="B207" s="37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</row>
    <row r="208" spans="1:78" s="81" customFormat="1" ht="12.75" x14ac:dyDescent="0.2">
      <c r="A208" s="34"/>
      <c r="B208" s="37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</row>
    <row r="209" spans="1:23" s="81" customFormat="1" ht="12.75" x14ac:dyDescent="0.2">
      <c r="A209" s="34"/>
      <c r="B209" s="37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</row>
    <row r="210" spans="1:23" s="81" customFormat="1" ht="12.75" x14ac:dyDescent="0.2">
      <c r="A210" s="34"/>
      <c r="B210" s="37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</row>
    <row r="211" spans="1:23" s="81" customFormat="1" ht="12.75" x14ac:dyDescent="0.2">
      <c r="A211" s="34"/>
      <c r="B211" s="37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</row>
    <row r="212" spans="1:23" s="81" customFormat="1" ht="12.75" x14ac:dyDescent="0.2">
      <c r="A212" s="34"/>
      <c r="B212" s="37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</row>
    <row r="213" spans="1:23" s="81" customFormat="1" ht="12.75" x14ac:dyDescent="0.2">
      <c r="A213" s="34"/>
      <c r="B213" s="37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</row>
    <row r="214" spans="1:23" s="81" customFormat="1" ht="12.75" x14ac:dyDescent="0.2">
      <c r="A214" s="34"/>
      <c r="B214" s="37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</row>
    <row r="215" spans="1:23" s="81" customFormat="1" ht="12.75" x14ac:dyDescent="0.2">
      <c r="A215" s="34"/>
      <c r="B215" s="37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</row>
    <row r="216" spans="1:23" s="81" customFormat="1" ht="12.75" x14ac:dyDescent="0.2">
      <c r="A216" s="34"/>
      <c r="B216" s="37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</row>
    <row r="217" spans="1:23" s="81" customFormat="1" ht="12.75" x14ac:dyDescent="0.2">
      <c r="A217" s="34"/>
      <c r="B217" s="37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</row>
    <row r="218" spans="1:23" s="81" customFormat="1" ht="12.75" x14ac:dyDescent="0.2">
      <c r="A218" s="34"/>
      <c r="B218" s="37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</row>
    <row r="219" spans="1:23" s="81" customFormat="1" ht="12.75" x14ac:dyDescent="0.2">
      <c r="A219" s="34"/>
      <c r="B219" s="37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</row>
    <row r="220" spans="1:23" s="81" customFormat="1" ht="12.75" x14ac:dyDescent="0.2">
      <c r="A220" s="34"/>
      <c r="B220" s="37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</row>
    <row r="221" spans="1:23" s="81" customFormat="1" ht="12.75" x14ac:dyDescent="0.2">
      <c r="A221" s="34"/>
      <c r="B221" s="37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</row>
    <row r="222" spans="1:23" s="81" customFormat="1" ht="12.75" x14ac:dyDescent="0.2">
      <c r="A222" s="34"/>
      <c r="B222" s="37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</row>
    <row r="223" spans="1:23" s="81" customFormat="1" ht="12.75" x14ac:dyDescent="0.2">
      <c r="A223" s="34"/>
      <c r="B223" s="37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</row>
    <row r="224" spans="1:23" s="31" customFormat="1" ht="12.75" x14ac:dyDescent="0.2">
      <c r="A224" s="34"/>
      <c r="B224" s="37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</row>
    <row r="225" spans="1:23" s="31" customFormat="1" ht="12.75" x14ac:dyDescent="0.2">
      <c r="A225" s="34"/>
      <c r="B225" s="37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</row>
    <row r="226" spans="1:23" s="31" customFormat="1" ht="12.75" x14ac:dyDescent="0.2">
      <c r="A226" s="34"/>
      <c r="B226" s="37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</row>
    <row r="227" spans="1:23" s="31" customFormat="1" ht="12.75" x14ac:dyDescent="0.2">
      <c r="A227" s="34"/>
      <c r="B227" s="37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</row>
    <row r="228" spans="1:23" s="31" customFormat="1" ht="12.75" x14ac:dyDescent="0.2">
      <c r="A228" s="34"/>
      <c r="B228" s="37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</row>
    <row r="229" spans="1:23" s="31" customFormat="1" ht="12.75" x14ac:dyDescent="0.2">
      <c r="A229" s="34"/>
      <c r="B229" s="37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</row>
    <row r="230" spans="1:23" s="31" customFormat="1" ht="12.75" x14ac:dyDescent="0.2">
      <c r="A230" s="34"/>
      <c r="B230" s="37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</row>
    <row r="231" spans="1:23" s="31" customFormat="1" ht="12.75" x14ac:dyDescent="0.2">
      <c r="A231" s="34"/>
      <c r="B231" s="37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</row>
    <row r="232" spans="1:23" s="31" customFormat="1" ht="12.75" x14ac:dyDescent="0.2">
      <c r="A232" s="34"/>
      <c r="B232" s="37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</row>
    <row r="233" spans="1:23" s="31" customFormat="1" ht="12.75" x14ac:dyDescent="0.2">
      <c r="A233" s="34"/>
      <c r="B233" s="37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</row>
    <row r="234" spans="1:23" s="31" customFormat="1" ht="12.75" x14ac:dyDescent="0.2">
      <c r="A234" s="34"/>
      <c r="B234" s="37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</row>
    <row r="235" spans="1:23" s="31" customFormat="1" ht="12.75" x14ac:dyDescent="0.2">
      <c r="A235" s="34"/>
      <c r="B235" s="37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</row>
    <row r="236" spans="1:23" s="31" customFormat="1" ht="12.75" x14ac:dyDescent="0.2">
      <c r="A236" s="34"/>
      <c r="B236" s="37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</row>
    <row r="237" spans="1:23" s="31" customFormat="1" ht="12.75" x14ac:dyDescent="0.2">
      <c r="A237" s="34"/>
      <c r="B237" s="37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</row>
    <row r="238" spans="1:23" s="31" customFormat="1" ht="12.75" x14ac:dyDescent="0.2">
      <c r="A238" s="34"/>
      <c r="B238" s="37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</row>
    <row r="239" spans="1:23" s="31" customFormat="1" ht="12.75" x14ac:dyDescent="0.2">
      <c r="A239" s="34"/>
      <c r="B239" s="37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</row>
    <row r="240" spans="1:23" s="31" customFormat="1" ht="12.75" x14ac:dyDescent="0.2">
      <c r="A240" s="34"/>
      <c r="B240" s="37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</row>
    <row r="241" spans="1:23" s="31" customFormat="1" ht="12.75" x14ac:dyDescent="0.2">
      <c r="A241" s="34"/>
      <c r="B241" s="37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</row>
    <row r="242" spans="1:23" s="31" customFormat="1" ht="12.75" x14ac:dyDescent="0.2">
      <c r="A242" s="34"/>
      <c r="B242" s="37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</row>
    <row r="243" spans="1:23" s="31" customFormat="1" ht="12.75" x14ac:dyDescent="0.2">
      <c r="A243" s="34"/>
      <c r="B243" s="37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</row>
    <row r="244" spans="1:23" s="31" customFormat="1" ht="12.75" x14ac:dyDescent="0.2">
      <c r="A244" s="34"/>
      <c r="B244" s="37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</row>
    <row r="245" spans="1:23" s="31" customFormat="1" ht="12.75" x14ac:dyDescent="0.2">
      <c r="A245" s="34"/>
      <c r="B245" s="37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</row>
    <row r="246" spans="1:23" s="31" customFormat="1" ht="12.75" x14ac:dyDescent="0.2">
      <c r="A246" s="34"/>
      <c r="B246" s="37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</row>
    <row r="247" spans="1:23" s="31" customFormat="1" ht="12.75" x14ac:dyDescent="0.2">
      <c r="A247" s="34"/>
      <c r="B247" s="37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</row>
    <row r="248" spans="1:23" s="31" customFormat="1" ht="12.75" x14ac:dyDescent="0.2">
      <c r="A248" s="34"/>
      <c r="B248" s="37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</row>
    <row r="249" spans="1:23" s="31" customFormat="1" ht="12.75" x14ac:dyDescent="0.2">
      <c r="A249" s="34"/>
      <c r="B249" s="37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</row>
    <row r="250" spans="1:23" s="31" customFormat="1" ht="12.75" x14ac:dyDescent="0.2">
      <c r="A250" s="34"/>
      <c r="B250" s="37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</row>
    <row r="251" spans="1:23" s="31" customFormat="1" ht="12.75" x14ac:dyDescent="0.2">
      <c r="A251" s="34"/>
      <c r="B251" s="37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</row>
    <row r="252" spans="1:23" s="31" customFormat="1" ht="12.75" x14ac:dyDescent="0.2">
      <c r="A252" s="34"/>
      <c r="B252" s="37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</row>
    <row r="253" spans="1:23" s="31" customFormat="1" ht="12.75" x14ac:dyDescent="0.2">
      <c r="A253" s="34"/>
      <c r="B253" s="37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</row>
    <row r="254" spans="1:23" s="31" customFormat="1" ht="12.75" x14ac:dyDescent="0.2">
      <c r="A254" s="34"/>
      <c r="B254" s="37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</row>
    <row r="255" spans="1:23" s="31" customFormat="1" ht="12.75" x14ac:dyDescent="0.2">
      <c r="A255" s="34"/>
      <c r="B255" s="37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</row>
    <row r="256" spans="1:23" s="31" customFormat="1" ht="12.75" x14ac:dyDescent="0.2">
      <c r="A256" s="34"/>
      <c r="B256" s="37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</row>
    <row r="257" spans="1:23" s="31" customFormat="1" ht="12.75" x14ac:dyDescent="0.2">
      <c r="A257" s="34"/>
      <c r="B257" s="37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</row>
    <row r="258" spans="1:23" s="31" customFormat="1" ht="12.75" x14ac:dyDescent="0.2">
      <c r="A258" s="34"/>
      <c r="B258" s="37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</row>
    <row r="259" spans="1:23" s="31" customFormat="1" ht="12.75" x14ac:dyDescent="0.2">
      <c r="A259" s="34"/>
      <c r="B259" s="37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</row>
    <row r="260" spans="1:23" s="31" customFormat="1" ht="12.75" x14ac:dyDescent="0.2">
      <c r="A260" s="34"/>
      <c r="B260" s="37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</row>
    <row r="261" spans="1:23" s="31" customFormat="1" ht="12.75" x14ac:dyDescent="0.2">
      <c r="A261" s="34"/>
      <c r="B261" s="37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</row>
    <row r="262" spans="1:23" s="31" customFormat="1" ht="12.75" x14ac:dyDescent="0.2">
      <c r="A262" s="34"/>
      <c r="B262" s="37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</row>
    <row r="263" spans="1:23" s="31" customFormat="1" ht="12.75" x14ac:dyDescent="0.2">
      <c r="A263" s="34"/>
      <c r="B263" s="37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</row>
    <row r="264" spans="1:23" s="31" customFormat="1" ht="12.75" x14ac:dyDescent="0.2">
      <c r="A264" s="34"/>
      <c r="B264" s="37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</row>
    <row r="265" spans="1:23" s="31" customFormat="1" ht="12.75" x14ac:dyDescent="0.2">
      <c r="A265" s="34"/>
      <c r="B265" s="37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</row>
    <row r="266" spans="1:23" s="31" customFormat="1" ht="12.75" x14ac:dyDescent="0.2">
      <c r="A266" s="34"/>
      <c r="B266" s="37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</row>
    <row r="267" spans="1:23" s="31" customFormat="1" ht="12.75" x14ac:dyDescent="0.2">
      <c r="A267" s="34"/>
      <c r="B267" s="37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</row>
    <row r="268" spans="1:23" s="31" customFormat="1" ht="12.75" x14ac:dyDescent="0.2">
      <c r="A268" s="34"/>
      <c r="B268" s="37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</row>
    <row r="269" spans="1:23" s="31" customFormat="1" ht="12.75" x14ac:dyDescent="0.2">
      <c r="A269" s="34"/>
      <c r="B269" s="37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</row>
    <row r="270" spans="1:23" s="31" customFormat="1" ht="12.75" x14ac:dyDescent="0.2">
      <c r="A270" s="34"/>
      <c r="B270" s="37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</row>
    <row r="271" spans="1:23" s="31" customFormat="1" ht="12.75" x14ac:dyDescent="0.2">
      <c r="A271" s="34"/>
      <c r="B271" s="37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</row>
    <row r="272" spans="1:23" s="31" customFormat="1" ht="12.75" x14ac:dyDescent="0.2">
      <c r="A272" s="34"/>
      <c r="B272" s="37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</row>
    <row r="273" spans="1:23" s="31" customFormat="1" ht="12.75" x14ac:dyDescent="0.2">
      <c r="A273" s="34"/>
      <c r="B273" s="37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</row>
    <row r="274" spans="1:23" s="31" customFormat="1" ht="12.75" x14ac:dyDescent="0.2">
      <c r="A274" s="34"/>
      <c r="B274" s="37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</row>
    <row r="275" spans="1:23" s="31" customFormat="1" ht="12.75" x14ac:dyDescent="0.2">
      <c r="A275" s="34"/>
      <c r="B275" s="37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</row>
    <row r="276" spans="1:23" s="31" customFormat="1" ht="12.75" x14ac:dyDescent="0.2">
      <c r="A276" s="34"/>
      <c r="B276" s="37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</row>
    <row r="277" spans="1:23" s="31" customFormat="1" ht="12.75" x14ac:dyDescent="0.2">
      <c r="A277" s="34"/>
      <c r="B277" s="37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</row>
    <row r="278" spans="1:23" s="31" customFormat="1" ht="12.75" x14ac:dyDescent="0.2">
      <c r="A278" s="34"/>
      <c r="B278" s="37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</row>
    <row r="279" spans="1:23" s="31" customFormat="1" ht="12.75" x14ac:dyDescent="0.2">
      <c r="A279" s="34"/>
      <c r="B279" s="37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</row>
    <row r="280" spans="1:23" s="31" customFormat="1" ht="12.75" x14ac:dyDescent="0.2">
      <c r="A280" s="34"/>
      <c r="B280" s="37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</row>
    <row r="281" spans="1:23" s="31" customFormat="1" ht="12.75" x14ac:dyDescent="0.2">
      <c r="A281" s="34"/>
      <c r="B281" s="37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</row>
    <row r="282" spans="1:23" s="31" customFormat="1" ht="12.75" x14ac:dyDescent="0.2">
      <c r="A282" s="34"/>
      <c r="B282" s="37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</row>
    <row r="283" spans="1:23" s="31" customFormat="1" ht="12.75" x14ac:dyDescent="0.2">
      <c r="A283" s="34"/>
      <c r="B283" s="37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</row>
    <row r="284" spans="1:23" s="31" customFormat="1" ht="12.75" x14ac:dyDescent="0.2">
      <c r="A284" s="34"/>
      <c r="B284" s="37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</row>
    <row r="285" spans="1:23" s="31" customFormat="1" ht="12.75" x14ac:dyDescent="0.2">
      <c r="A285" s="34"/>
      <c r="B285" s="37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</row>
    <row r="286" spans="1:23" s="31" customFormat="1" ht="12.75" x14ac:dyDescent="0.2">
      <c r="A286" s="34"/>
      <c r="B286" s="37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</row>
    <row r="287" spans="1:23" s="31" customFormat="1" ht="12.75" x14ac:dyDescent="0.2">
      <c r="A287" s="34"/>
      <c r="B287" s="37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</row>
    <row r="288" spans="1:23" s="31" customFormat="1" ht="12.75" x14ac:dyDescent="0.2">
      <c r="A288" s="34"/>
      <c r="B288" s="37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</row>
    <row r="289" spans="1:23" s="31" customFormat="1" ht="12.75" x14ac:dyDescent="0.2">
      <c r="A289" s="34"/>
      <c r="B289" s="37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</row>
    <row r="290" spans="1:23" s="31" customFormat="1" ht="12.75" x14ac:dyDescent="0.2">
      <c r="A290" s="34"/>
      <c r="B290" s="37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</row>
    <row r="291" spans="1:23" s="31" customFormat="1" ht="12.75" x14ac:dyDescent="0.2">
      <c r="A291" s="34"/>
      <c r="B291" s="37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</row>
    <row r="292" spans="1:23" s="31" customFormat="1" ht="12.75" x14ac:dyDescent="0.2">
      <c r="A292" s="34"/>
      <c r="B292" s="37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</row>
    <row r="293" spans="1:23" s="31" customFormat="1" ht="12.75" x14ac:dyDescent="0.2">
      <c r="A293" s="34"/>
      <c r="B293" s="37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</row>
    <row r="294" spans="1:23" s="31" customFormat="1" ht="12.75" x14ac:dyDescent="0.2">
      <c r="A294" s="34"/>
      <c r="B294" s="37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</row>
    <row r="295" spans="1:23" s="31" customFormat="1" ht="12.75" x14ac:dyDescent="0.2">
      <c r="A295" s="34"/>
      <c r="B295" s="37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</row>
    <row r="296" spans="1:23" s="31" customFormat="1" ht="12.75" x14ac:dyDescent="0.2">
      <c r="A296" s="34"/>
      <c r="B296" s="37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</row>
    <row r="297" spans="1:23" s="31" customFormat="1" ht="12.75" x14ac:dyDescent="0.2">
      <c r="A297" s="34"/>
      <c r="B297" s="37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</row>
    <row r="298" spans="1:23" s="31" customFormat="1" ht="12.75" x14ac:dyDescent="0.2">
      <c r="A298" s="34"/>
      <c r="B298" s="37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</row>
    <row r="299" spans="1:23" s="31" customFormat="1" ht="12.75" x14ac:dyDescent="0.2">
      <c r="A299" s="34"/>
      <c r="B299" s="37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</row>
    <row r="300" spans="1:23" s="31" customFormat="1" ht="12.75" x14ac:dyDescent="0.2">
      <c r="A300" s="34"/>
      <c r="B300" s="37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</row>
    <row r="301" spans="1:23" s="31" customFormat="1" ht="12.75" x14ac:dyDescent="0.2">
      <c r="A301" s="34"/>
      <c r="B301" s="37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</row>
    <row r="302" spans="1:23" s="31" customFormat="1" ht="12.75" x14ac:dyDescent="0.2">
      <c r="A302" s="34"/>
      <c r="B302" s="37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</row>
    <row r="303" spans="1:23" s="31" customFormat="1" ht="12.75" x14ac:dyDescent="0.2">
      <c r="A303" s="34"/>
      <c r="B303" s="37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</row>
    <row r="304" spans="1:23" s="31" customFormat="1" ht="12.75" x14ac:dyDescent="0.2">
      <c r="A304" s="34"/>
      <c r="B304" s="37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</row>
    <row r="305" spans="1:23" s="31" customFormat="1" ht="12.75" x14ac:dyDescent="0.2">
      <c r="A305" s="34"/>
      <c r="B305" s="37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</row>
    <row r="306" spans="1:23" s="31" customFormat="1" ht="12.75" x14ac:dyDescent="0.2">
      <c r="A306" s="34"/>
      <c r="B306" s="37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</row>
    <row r="307" spans="1:23" s="31" customFormat="1" ht="12.75" x14ac:dyDescent="0.2">
      <c r="A307" s="34"/>
      <c r="B307" s="37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</row>
    <row r="308" spans="1:23" s="31" customFormat="1" ht="12.75" x14ac:dyDescent="0.2">
      <c r="A308" s="34"/>
      <c r="B308" s="37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</row>
    <row r="309" spans="1:23" s="31" customFormat="1" ht="12.75" x14ac:dyDescent="0.2">
      <c r="A309" s="34"/>
      <c r="B309" s="37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</row>
    <row r="310" spans="1:23" s="31" customFormat="1" ht="12.75" x14ac:dyDescent="0.2">
      <c r="A310" s="34"/>
      <c r="B310" s="37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</row>
    <row r="311" spans="1:23" s="31" customFormat="1" ht="12.75" x14ac:dyDescent="0.2">
      <c r="A311" s="34"/>
      <c r="B311" s="37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</row>
    <row r="312" spans="1:23" s="31" customFormat="1" ht="12.75" x14ac:dyDescent="0.2">
      <c r="A312" s="34"/>
      <c r="B312" s="37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</row>
    <row r="313" spans="1:23" s="31" customFormat="1" ht="12.75" x14ac:dyDescent="0.2">
      <c r="A313" s="34"/>
      <c r="B313" s="37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</row>
    <row r="314" spans="1:23" s="31" customFormat="1" ht="12.75" x14ac:dyDescent="0.2">
      <c r="A314" s="34"/>
      <c r="B314" s="37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</row>
    <row r="315" spans="1:23" s="31" customFormat="1" ht="12.75" x14ac:dyDescent="0.2">
      <c r="A315" s="34"/>
      <c r="B315" s="37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</row>
    <row r="316" spans="1:23" s="31" customFormat="1" ht="12.75" x14ac:dyDescent="0.2">
      <c r="A316" s="34"/>
      <c r="B316" s="37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</row>
    <row r="317" spans="1:23" s="31" customFormat="1" ht="12.75" x14ac:dyDescent="0.2">
      <c r="A317" s="34"/>
      <c r="B317" s="37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</row>
    <row r="318" spans="1:23" s="31" customFormat="1" ht="12.75" x14ac:dyDescent="0.2">
      <c r="A318" s="34"/>
      <c r="B318" s="37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</row>
    <row r="319" spans="1:23" s="31" customFormat="1" ht="12.75" x14ac:dyDescent="0.2">
      <c r="A319" s="34"/>
      <c r="B319" s="37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</row>
    <row r="320" spans="1:23" s="31" customFormat="1" ht="12.75" x14ac:dyDescent="0.2">
      <c r="A320" s="34"/>
      <c r="B320" s="37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</row>
    <row r="321" spans="1:23" s="31" customFormat="1" ht="12.75" x14ac:dyDescent="0.2">
      <c r="A321" s="34"/>
      <c r="B321" s="37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</row>
    <row r="322" spans="1:23" s="31" customFormat="1" ht="12.75" x14ac:dyDescent="0.2">
      <c r="A322" s="34"/>
      <c r="B322" s="37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</row>
    <row r="323" spans="1:23" s="31" customFormat="1" ht="12.75" x14ac:dyDescent="0.2">
      <c r="A323" s="34"/>
      <c r="B323" s="37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</row>
    <row r="324" spans="1:23" s="31" customFormat="1" ht="12.75" x14ac:dyDescent="0.2">
      <c r="A324" s="34"/>
      <c r="B324" s="37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</row>
    <row r="325" spans="1:23" s="31" customFormat="1" ht="12.75" x14ac:dyDescent="0.2">
      <c r="A325" s="34"/>
      <c r="B325" s="37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</row>
    <row r="326" spans="1:23" s="31" customFormat="1" ht="12.75" x14ac:dyDescent="0.2">
      <c r="A326" s="34"/>
      <c r="B326" s="37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</row>
    <row r="327" spans="1:23" s="31" customFormat="1" ht="12.75" x14ac:dyDescent="0.2">
      <c r="A327" s="34"/>
      <c r="B327" s="37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</row>
    <row r="328" spans="1:23" s="31" customFormat="1" ht="12.75" x14ac:dyDescent="0.2">
      <c r="A328" s="34"/>
      <c r="B328" s="37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</row>
    <row r="329" spans="1:23" s="31" customFormat="1" ht="12.75" x14ac:dyDescent="0.2">
      <c r="A329" s="34"/>
      <c r="B329" s="37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</row>
    <row r="330" spans="1:23" s="31" customFormat="1" ht="12.75" x14ac:dyDescent="0.2">
      <c r="A330" s="34"/>
      <c r="B330" s="37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</row>
    <row r="331" spans="1:23" s="31" customFormat="1" ht="12.75" x14ac:dyDescent="0.2">
      <c r="A331" s="34"/>
      <c r="B331" s="37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</row>
    <row r="332" spans="1:23" s="31" customFormat="1" ht="12.75" x14ac:dyDescent="0.2">
      <c r="A332" s="34"/>
      <c r="B332" s="37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</row>
    <row r="333" spans="1:23" s="31" customFormat="1" ht="12.75" x14ac:dyDescent="0.2">
      <c r="A333" s="34"/>
      <c r="B333" s="37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</row>
    <row r="334" spans="1:23" s="31" customFormat="1" ht="12.75" x14ac:dyDescent="0.2">
      <c r="A334" s="34"/>
      <c r="B334" s="37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</row>
    <row r="335" spans="1:23" s="31" customFormat="1" ht="12.75" x14ac:dyDescent="0.2">
      <c r="A335" s="34"/>
      <c r="B335" s="37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</row>
    <row r="336" spans="1:23" s="31" customFormat="1" ht="12.75" x14ac:dyDescent="0.2">
      <c r="A336" s="34"/>
      <c r="B336" s="37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</row>
    <row r="337" spans="1:23" s="31" customFormat="1" ht="12.75" x14ac:dyDescent="0.2">
      <c r="A337" s="34"/>
      <c r="B337" s="37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</row>
    <row r="338" spans="1:23" s="31" customFormat="1" ht="12.75" x14ac:dyDescent="0.2">
      <c r="A338" s="34"/>
      <c r="B338" s="37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</row>
    <row r="339" spans="1:23" s="31" customFormat="1" ht="12.75" x14ac:dyDescent="0.2">
      <c r="A339" s="34"/>
      <c r="B339" s="37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</row>
    <row r="340" spans="1:23" s="31" customFormat="1" ht="12.75" x14ac:dyDescent="0.2">
      <c r="A340" s="34"/>
      <c r="B340" s="37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</row>
    <row r="341" spans="1:23" s="31" customFormat="1" ht="12.75" x14ac:dyDescent="0.2">
      <c r="A341" s="34"/>
      <c r="B341" s="37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</row>
    <row r="342" spans="1:23" s="31" customFormat="1" ht="12.75" x14ac:dyDescent="0.2">
      <c r="A342" s="34"/>
      <c r="B342" s="37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</row>
    <row r="343" spans="1:23" s="31" customFormat="1" ht="12.75" x14ac:dyDescent="0.2">
      <c r="A343" s="34"/>
      <c r="B343" s="37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</row>
    <row r="344" spans="1:23" s="31" customFormat="1" ht="12.75" x14ac:dyDescent="0.2">
      <c r="A344" s="34"/>
      <c r="B344" s="37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</row>
    <row r="345" spans="1:23" s="31" customFormat="1" ht="12.75" x14ac:dyDescent="0.2">
      <c r="A345" s="34"/>
      <c r="B345" s="37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</row>
    <row r="346" spans="1:23" s="31" customFormat="1" ht="12.75" x14ac:dyDescent="0.2">
      <c r="A346" s="34"/>
      <c r="B346" s="37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</row>
    <row r="347" spans="1:23" s="31" customFormat="1" ht="12.75" x14ac:dyDescent="0.2">
      <c r="A347" s="34"/>
      <c r="B347" s="37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</row>
    <row r="348" spans="1:23" s="31" customFormat="1" ht="12.75" x14ac:dyDescent="0.2">
      <c r="A348" s="34"/>
      <c r="B348" s="37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</row>
    <row r="349" spans="1:23" s="31" customFormat="1" ht="12.75" x14ac:dyDescent="0.2">
      <c r="A349" s="34"/>
      <c r="B349" s="37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</row>
    <row r="350" spans="1:23" s="31" customFormat="1" ht="12.75" x14ac:dyDescent="0.2">
      <c r="A350" s="34"/>
      <c r="B350" s="37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</row>
    <row r="351" spans="1:23" s="31" customFormat="1" ht="12.75" x14ac:dyDescent="0.2">
      <c r="A351" s="34"/>
      <c r="B351" s="37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</row>
    <row r="352" spans="1:23" s="31" customFormat="1" ht="12.75" x14ac:dyDescent="0.2">
      <c r="A352" s="34"/>
      <c r="B352" s="37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</row>
    <row r="353" spans="1:23" s="31" customFormat="1" ht="12.75" x14ac:dyDescent="0.2">
      <c r="A353" s="34"/>
      <c r="B353" s="37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</row>
    <row r="354" spans="1:23" s="31" customFormat="1" ht="12.75" x14ac:dyDescent="0.2">
      <c r="A354" s="34"/>
      <c r="B354" s="37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</row>
    <row r="355" spans="1:23" s="31" customFormat="1" ht="12.75" x14ac:dyDescent="0.2">
      <c r="A355" s="34"/>
      <c r="B355" s="37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</row>
    <row r="356" spans="1:23" s="31" customFormat="1" ht="12.75" x14ac:dyDescent="0.2">
      <c r="A356" s="34"/>
      <c r="B356" s="37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</row>
    <row r="357" spans="1:23" s="31" customFormat="1" ht="12.75" x14ac:dyDescent="0.2">
      <c r="A357" s="34"/>
      <c r="B357" s="37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</row>
    <row r="358" spans="1:23" s="31" customFormat="1" ht="12.75" x14ac:dyDescent="0.2">
      <c r="A358" s="34"/>
      <c r="B358" s="37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</row>
    <row r="359" spans="1:23" s="31" customFormat="1" ht="12.75" x14ac:dyDescent="0.2">
      <c r="A359" s="34"/>
      <c r="B359" s="37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</row>
    <row r="360" spans="1:23" s="31" customFormat="1" ht="12.75" x14ac:dyDescent="0.2">
      <c r="A360" s="34"/>
      <c r="B360" s="37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</row>
    <row r="361" spans="1:23" s="31" customFormat="1" ht="12.75" x14ac:dyDescent="0.2">
      <c r="A361" s="34"/>
      <c r="B361" s="37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</row>
    <row r="362" spans="1:23" s="31" customFormat="1" ht="12.75" x14ac:dyDescent="0.2">
      <c r="A362" s="34"/>
      <c r="B362" s="37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</row>
    <row r="363" spans="1:23" s="31" customFormat="1" ht="12.75" x14ac:dyDescent="0.2">
      <c r="A363" s="34"/>
      <c r="B363" s="37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</row>
    <row r="364" spans="1:23" s="31" customFormat="1" ht="12.75" x14ac:dyDescent="0.2">
      <c r="A364" s="34"/>
      <c r="B364" s="37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</row>
    <row r="365" spans="1:23" s="31" customFormat="1" ht="12.75" x14ac:dyDescent="0.2">
      <c r="A365" s="34"/>
      <c r="B365" s="37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</row>
    <row r="366" spans="1:23" s="31" customFormat="1" ht="12.75" x14ac:dyDescent="0.2">
      <c r="A366" s="34"/>
      <c r="B366" s="37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</row>
    <row r="367" spans="1:23" s="31" customFormat="1" ht="12.75" x14ac:dyDescent="0.2">
      <c r="A367" s="34"/>
      <c r="B367" s="37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</row>
    <row r="368" spans="1:23" s="31" customFormat="1" ht="12.75" x14ac:dyDescent="0.2">
      <c r="A368" s="34"/>
      <c r="B368" s="37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</row>
    <row r="369" spans="1:23" s="31" customFormat="1" ht="12.75" x14ac:dyDescent="0.2">
      <c r="A369" s="34"/>
      <c r="B369" s="37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</row>
    <row r="370" spans="1:23" s="31" customFormat="1" ht="12.75" x14ac:dyDescent="0.2">
      <c r="A370" s="34"/>
      <c r="B370" s="37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</row>
    <row r="371" spans="1:23" s="31" customFormat="1" ht="12.75" x14ac:dyDescent="0.2">
      <c r="A371" s="34"/>
      <c r="B371" s="37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</row>
    <row r="372" spans="1:23" s="31" customFormat="1" ht="12.75" x14ac:dyDescent="0.2">
      <c r="A372" s="34"/>
      <c r="B372" s="37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</row>
    <row r="373" spans="1:23" s="31" customFormat="1" ht="12.75" x14ac:dyDescent="0.2">
      <c r="A373" s="34"/>
      <c r="B373" s="37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</row>
    <row r="374" spans="1:23" s="31" customFormat="1" ht="12.75" x14ac:dyDescent="0.2">
      <c r="A374" s="34"/>
      <c r="B374" s="37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</row>
    <row r="375" spans="1:23" s="31" customFormat="1" ht="12.75" x14ac:dyDescent="0.2">
      <c r="A375" s="34"/>
      <c r="B375" s="37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</row>
    <row r="376" spans="1:23" s="31" customFormat="1" ht="12.75" x14ac:dyDescent="0.2">
      <c r="A376" s="34"/>
      <c r="B376" s="37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</row>
    <row r="377" spans="1:23" s="31" customFormat="1" ht="12.75" x14ac:dyDescent="0.2">
      <c r="A377" s="34"/>
      <c r="B377" s="37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</row>
    <row r="378" spans="1:23" s="31" customFormat="1" ht="12.75" x14ac:dyDescent="0.2">
      <c r="A378" s="34"/>
      <c r="B378" s="37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</row>
    <row r="379" spans="1:23" s="31" customFormat="1" ht="12.75" x14ac:dyDescent="0.2">
      <c r="A379" s="34"/>
      <c r="B379" s="37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</row>
    <row r="380" spans="1:23" s="31" customFormat="1" ht="12.75" x14ac:dyDescent="0.2">
      <c r="A380" s="34"/>
      <c r="B380" s="37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</row>
    <row r="381" spans="1:23" s="31" customFormat="1" ht="12.75" x14ac:dyDescent="0.2">
      <c r="A381" s="34"/>
      <c r="B381" s="37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</row>
    <row r="382" spans="1:23" s="31" customFormat="1" ht="12.75" x14ac:dyDescent="0.2">
      <c r="A382" s="34"/>
      <c r="B382" s="37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</row>
    <row r="383" spans="1:23" s="31" customFormat="1" ht="12.75" x14ac:dyDescent="0.2">
      <c r="A383" s="34"/>
      <c r="B383" s="37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</row>
    <row r="384" spans="1:23" s="31" customFormat="1" ht="12.75" x14ac:dyDescent="0.2">
      <c r="A384" s="34"/>
      <c r="B384" s="37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</row>
    <row r="385" spans="1:23" s="31" customFormat="1" ht="12.75" x14ac:dyDescent="0.2">
      <c r="A385" s="34"/>
      <c r="B385" s="37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</row>
    <row r="386" spans="1:23" s="31" customFormat="1" ht="12.75" x14ac:dyDescent="0.2">
      <c r="A386" s="34"/>
      <c r="B386" s="37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</row>
    <row r="387" spans="1:23" s="31" customFormat="1" ht="12.75" x14ac:dyDescent="0.2">
      <c r="A387" s="34"/>
      <c r="B387" s="37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</row>
    <row r="388" spans="1:23" s="31" customFormat="1" ht="12.75" x14ac:dyDescent="0.2">
      <c r="A388" s="34"/>
      <c r="B388" s="37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</row>
    <row r="389" spans="1:23" s="31" customFormat="1" ht="12.75" x14ac:dyDescent="0.2">
      <c r="A389" s="34"/>
      <c r="B389" s="37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</row>
    <row r="390" spans="1:23" s="31" customFormat="1" ht="12.75" x14ac:dyDescent="0.2">
      <c r="A390" s="34"/>
      <c r="B390" s="37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</row>
    <row r="391" spans="1:23" s="31" customFormat="1" ht="12.75" x14ac:dyDescent="0.2">
      <c r="A391" s="34"/>
      <c r="B391" s="37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</row>
    <row r="392" spans="1:23" s="31" customFormat="1" ht="12.75" x14ac:dyDescent="0.2">
      <c r="A392" s="34"/>
      <c r="B392" s="37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</row>
    <row r="393" spans="1:23" s="31" customFormat="1" ht="12.75" x14ac:dyDescent="0.2">
      <c r="A393" s="34"/>
      <c r="B393" s="37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</row>
    <row r="394" spans="1:23" s="31" customFormat="1" ht="12.75" x14ac:dyDescent="0.2">
      <c r="A394" s="34"/>
      <c r="B394" s="37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</row>
    <row r="395" spans="1:23" s="31" customFormat="1" ht="12.75" x14ac:dyDescent="0.2">
      <c r="A395" s="34"/>
      <c r="B395" s="37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</row>
    <row r="396" spans="1:23" s="31" customFormat="1" ht="12.75" x14ac:dyDescent="0.2">
      <c r="A396" s="34"/>
      <c r="B396" s="37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</row>
    <row r="397" spans="1:23" s="31" customFormat="1" ht="12.75" x14ac:dyDescent="0.2">
      <c r="A397" s="34"/>
      <c r="B397" s="37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</row>
    <row r="398" spans="1:23" s="31" customFormat="1" ht="12.75" x14ac:dyDescent="0.2">
      <c r="A398" s="34"/>
      <c r="B398" s="37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</row>
    <row r="399" spans="1:23" s="31" customFormat="1" ht="12.75" x14ac:dyDescent="0.2">
      <c r="A399" s="34"/>
      <c r="B399" s="37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</row>
    <row r="400" spans="1:23" s="31" customFormat="1" ht="12.75" x14ac:dyDescent="0.2">
      <c r="A400" s="34"/>
      <c r="B400" s="37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</row>
    <row r="401" spans="1:23" s="31" customFormat="1" ht="12.75" x14ac:dyDescent="0.2">
      <c r="A401" s="34"/>
      <c r="B401" s="37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</row>
    <row r="402" spans="1:23" s="31" customFormat="1" ht="12.75" x14ac:dyDescent="0.2">
      <c r="A402" s="34"/>
      <c r="B402" s="37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</row>
    <row r="403" spans="1:23" s="31" customFormat="1" ht="12.75" x14ac:dyDescent="0.2">
      <c r="A403" s="34"/>
      <c r="B403" s="37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</row>
    <row r="404" spans="1:23" s="31" customFormat="1" ht="12.75" x14ac:dyDescent="0.2">
      <c r="A404" s="34"/>
      <c r="B404" s="37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</row>
    <row r="405" spans="1:23" s="31" customFormat="1" ht="12.75" x14ac:dyDescent="0.2">
      <c r="A405" s="34"/>
      <c r="B405" s="37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</row>
    <row r="406" spans="1:23" s="31" customFormat="1" ht="12.75" x14ac:dyDescent="0.2">
      <c r="A406" s="34"/>
      <c r="B406" s="37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</row>
    <row r="407" spans="1:23" s="31" customFormat="1" ht="12.75" x14ac:dyDescent="0.2">
      <c r="A407" s="34"/>
      <c r="B407" s="37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</row>
    <row r="408" spans="1:23" s="31" customFormat="1" ht="12.75" x14ac:dyDescent="0.2">
      <c r="A408" s="34"/>
      <c r="B408" s="37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</row>
    <row r="409" spans="1:23" s="31" customFormat="1" ht="12.75" x14ac:dyDescent="0.2">
      <c r="A409" s="34"/>
      <c r="B409" s="37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</row>
    <row r="410" spans="1:23" s="31" customFormat="1" ht="12.75" x14ac:dyDescent="0.2">
      <c r="A410" s="34"/>
      <c r="B410" s="37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</row>
    <row r="411" spans="1:23" s="31" customFormat="1" ht="12.75" x14ac:dyDescent="0.2">
      <c r="A411" s="34"/>
      <c r="B411" s="37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</row>
    <row r="412" spans="1:23" s="31" customFormat="1" ht="12.75" x14ac:dyDescent="0.2">
      <c r="A412" s="34"/>
      <c r="B412" s="37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</row>
    <row r="413" spans="1:23" s="31" customFormat="1" ht="12.75" x14ac:dyDescent="0.2">
      <c r="A413" s="34"/>
      <c r="B413" s="37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</row>
    <row r="414" spans="1:23" s="31" customFormat="1" ht="12.75" x14ac:dyDescent="0.2">
      <c r="A414" s="34"/>
      <c r="B414" s="37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</row>
    <row r="415" spans="1:23" s="31" customFormat="1" ht="12.75" x14ac:dyDescent="0.2">
      <c r="A415" s="34"/>
      <c r="B415" s="37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</row>
    <row r="416" spans="1:23" s="31" customFormat="1" ht="12.75" x14ac:dyDescent="0.2">
      <c r="A416" s="34"/>
      <c r="B416" s="37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</row>
    <row r="417" spans="1:23" s="31" customFormat="1" ht="12.75" x14ac:dyDescent="0.2">
      <c r="A417" s="34"/>
      <c r="B417" s="37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</row>
    <row r="418" spans="1:23" s="31" customFormat="1" ht="12.75" x14ac:dyDescent="0.2">
      <c r="A418" s="34"/>
      <c r="B418" s="37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</row>
    <row r="419" spans="1:23" s="31" customFormat="1" ht="12.75" x14ac:dyDescent="0.2">
      <c r="A419" s="34"/>
      <c r="B419" s="37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</row>
    <row r="420" spans="1:23" s="31" customFormat="1" ht="12.75" x14ac:dyDescent="0.2">
      <c r="A420" s="34"/>
      <c r="B420" s="37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</row>
    <row r="421" spans="1:23" s="31" customFormat="1" ht="12.75" x14ac:dyDescent="0.2">
      <c r="A421" s="34"/>
      <c r="B421" s="37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</row>
    <row r="422" spans="1:23" s="31" customFormat="1" ht="12.75" x14ac:dyDescent="0.2">
      <c r="A422" s="34"/>
      <c r="B422" s="37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</row>
    <row r="423" spans="1:23" s="31" customFormat="1" ht="12.75" x14ac:dyDescent="0.2">
      <c r="A423" s="34"/>
      <c r="B423" s="37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</row>
    <row r="424" spans="1:23" s="31" customFormat="1" ht="12.75" x14ac:dyDescent="0.2">
      <c r="A424" s="34"/>
      <c r="B424" s="37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</row>
    <row r="425" spans="1:23" s="31" customFormat="1" ht="12.75" x14ac:dyDescent="0.2">
      <c r="A425" s="34"/>
      <c r="B425" s="37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</row>
    <row r="426" spans="1:23" s="31" customFormat="1" ht="12.75" x14ac:dyDescent="0.2">
      <c r="A426" s="34"/>
      <c r="B426" s="37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</row>
    <row r="427" spans="1:23" s="31" customFormat="1" ht="12.75" x14ac:dyDescent="0.2">
      <c r="A427" s="34"/>
      <c r="B427" s="37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</row>
    <row r="428" spans="1:23" s="31" customFormat="1" ht="12.75" x14ac:dyDescent="0.2">
      <c r="A428" s="34"/>
      <c r="B428" s="37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</row>
    <row r="429" spans="1:23" s="31" customFormat="1" ht="12.75" x14ac:dyDescent="0.2">
      <c r="A429" s="34"/>
      <c r="B429" s="37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</row>
    <row r="430" spans="1:23" s="31" customFormat="1" ht="12.75" x14ac:dyDescent="0.2">
      <c r="A430" s="34"/>
      <c r="B430" s="37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</row>
    <row r="431" spans="1:23" s="31" customFormat="1" ht="12.75" x14ac:dyDescent="0.2">
      <c r="A431" s="34"/>
      <c r="B431" s="37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</row>
    <row r="432" spans="1:23" s="31" customFormat="1" ht="12.75" x14ac:dyDescent="0.2">
      <c r="A432" s="34"/>
      <c r="B432" s="37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</row>
    <row r="433" spans="1:23" s="31" customFormat="1" ht="12.75" x14ac:dyDescent="0.2">
      <c r="A433" s="34"/>
      <c r="B433" s="37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</row>
    <row r="434" spans="1:23" s="31" customFormat="1" ht="12.75" x14ac:dyDescent="0.2">
      <c r="A434" s="34"/>
      <c r="B434" s="37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</row>
    <row r="435" spans="1:23" s="31" customFormat="1" ht="12.75" x14ac:dyDescent="0.2">
      <c r="A435" s="34"/>
      <c r="B435" s="37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</row>
    <row r="436" spans="1:23" s="31" customFormat="1" ht="12.75" x14ac:dyDescent="0.2">
      <c r="A436" s="34"/>
      <c r="B436" s="37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</row>
    <row r="437" spans="1:23" s="31" customFormat="1" ht="12.75" x14ac:dyDescent="0.2">
      <c r="A437" s="34"/>
      <c r="B437" s="37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</row>
    <row r="438" spans="1:23" s="31" customFormat="1" ht="12.75" x14ac:dyDescent="0.2">
      <c r="A438" s="34"/>
      <c r="B438" s="37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</row>
    <row r="439" spans="1:23" s="31" customFormat="1" ht="12.75" x14ac:dyDescent="0.2">
      <c r="A439" s="34"/>
      <c r="B439" s="37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</row>
    <row r="440" spans="1:23" s="31" customFormat="1" ht="12.75" x14ac:dyDescent="0.2">
      <c r="A440" s="34"/>
      <c r="B440" s="37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</row>
    <row r="441" spans="1:23" s="31" customFormat="1" ht="12.75" x14ac:dyDescent="0.2">
      <c r="A441" s="34"/>
      <c r="B441" s="37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</row>
    <row r="442" spans="1:23" s="31" customFormat="1" ht="12.75" x14ac:dyDescent="0.2">
      <c r="A442" s="34"/>
      <c r="B442" s="37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</row>
    <row r="443" spans="1:23" s="31" customFormat="1" ht="12.75" x14ac:dyDescent="0.2">
      <c r="A443" s="34"/>
      <c r="B443" s="37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</row>
    <row r="444" spans="1:23" s="31" customFormat="1" ht="12.75" x14ac:dyDescent="0.2">
      <c r="A444" s="34"/>
      <c r="B444" s="37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</row>
    <row r="445" spans="1:23" s="31" customFormat="1" ht="12.75" x14ac:dyDescent="0.2">
      <c r="A445" s="34"/>
      <c r="B445" s="37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</row>
    <row r="446" spans="1:23" s="31" customFormat="1" ht="12.75" x14ac:dyDescent="0.2">
      <c r="A446" s="34"/>
      <c r="B446" s="37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</row>
    <row r="447" spans="1:23" s="31" customFormat="1" ht="12.75" x14ac:dyDescent="0.2">
      <c r="A447" s="34"/>
      <c r="B447" s="37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</row>
    <row r="448" spans="1:23" s="31" customFormat="1" ht="12.75" x14ac:dyDescent="0.2">
      <c r="A448" s="34"/>
      <c r="B448" s="37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</row>
    <row r="449" spans="1:23" s="31" customFormat="1" ht="12.75" x14ac:dyDescent="0.2">
      <c r="A449" s="34"/>
      <c r="B449" s="37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</row>
    <row r="450" spans="1:23" s="31" customFormat="1" ht="12.75" x14ac:dyDescent="0.2">
      <c r="A450" s="34"/>
      <c r="B450" s="37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</row>
    <row r="451" spans="1:23" s="31" customFormat="1" ht="12.75" x14ac:dyDescent="0.2">
      <c r="A451" s="34"/>
      <c r="B451" s="37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</row>
    <row r="452" spans="1:23" s="31" customFormat="1" ht="12.75" x14ac:dyDescent="0.2">
      <c r="A452" s="34"/>
      <c r="B452" s="37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</row>
    <row r="453" spans="1:23" s="31" customFormat="1" ht="12.75" x14ac:dyDescent="0.2">
      <c r="A453" s="34"/>
      <c r="B453" s="37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</row>
    <row r="454" spans="1:23" s="31" customFormat="1" ht="12.75" x14ac:dyDescent="0.2">
      <c r="A454" s="34"/>
      <c r="B454" s="37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</row>
    <row r="455" spans="1:23" s="31" customFormat="1" ht="12.75" x14ac:dyDescent="0.2">
      <c r="A455" s="34"/>
      <c r="B455" s="37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</row>
    <row r="456" spans="1:23" s="31" customFormat="1" ht="12.75" x14ac:dyDescent="0.2">
      <c r="A456" s="34"/>
      <c r="B456" s="37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</row>
    <row r="457" spans="1:23" s="31" customFormat="1" ht="12.75" x14ac:dyDescent="0.2">
      <c r="A457" s="34"/>
      <c r="B457" s="37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</row>
    <row r="458" spans="1:23" s="31" customFormat="1" ht="12.75" x14ac:dyDescent="0.2">
      <c r="A458" s="34"/>
      <c r="B458" s="37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</row>
    <row r="459" spans="1:23" s="31" customFormat="1" ht="12.75" x14ac:dyDescent="0.2">
      <c r="A459" s="34"/>
      <c r="B459" s="37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</row>
    <row r="460" spans="1:23" s="31" customFormat="1" ht="12.75" x14ac:dyDescent="0.2">
      <c r="A460" s="34"/>
      <c r="B460" s="37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</row>
    <row r="461" spans="1:23" s="31" customFormat="1" ht="12.75" x14ac:dyDescent="0.2">
      <c r="A461" s="34"/>
      <c r="B461" s="37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</row>
    <row r="462" spans="1:23" s="31" customFormat="1" ht="12.75" x14ac:dyDescent="0.2">
      <c r="A462" s="34"/>
      <c r="B462" s="37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</row>
    <row r="463" spans="1:23" s="31" customFormat="1" ht="12.75" x14ac:dyDescent="0.2">
      <c r="A463" s="34"/>
      <c r="B463" s="37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</row>
    <row r="464" spans="1:23" s="31" customFormat="1" ht="12.75" x14ac:dyDescent="0.2">
      <c r="A464" s="34"/>
      <c r="B464" s="37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</row>
    <row r="465" spans="1:23" s="31" customFormat="1" ht="12.75" x14ac:dyDescent="0.2">
      <c r="A465" s="34"/>
      <c r="B465" s="37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</row>
    <row r="466" spans="1:23" s="31" customFormat="1" ht="12.75" x14ac:dyDescent="0.2">
      <c r="A466" s="34"/>
      <c r="B466" s="37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</row>
    <row r="467" spans="1:23" s="31" customFormat="1" ht="12.75" x14ac:dyDescent="0.2">
      <c r="A467" s="34"/>
      <c r="B467" s="37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</row>
    <row r="468" spans="1:23" s="31" customFormat="1" ht="12.75" x14ac:dyDescent="0.2">
      <c r="A468" s="34"/>
      <c r="B468" s="37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</row>
    <row r="469" spans="1:23" s="31" customFormat="1" ht="12.75" x14ac:dyDescent="0.2">
      <c r="A469" s="34"/>
      <c r="B469" s="37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</row>
    <row r="470" spans="1:23" s="31" customFormat="1" ht="12.75" x14ac:dyDescent="0.2">
      <c r="A470" s="34"/>
      <c r="B470" s="37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</row>
    <row r="471" spans="1:23" s="31" customFormat="1" ht="12.75" x14ac:dyDescent="0.2">
      <c r="A471" s="34"/>
      <c r="B471" s="37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</row>
    <row r="472" spans="1:23" s="31" customFormat="1" ht="12.75" x14ac:dyDescent="0.2">
      <c r="A472" s="34"/>
      <c r="B472" s="37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</row>
    <row r="473" spans="1:23" s="31" customFormat="1" ht="12.75" x14ac:dyDescent="0.2">
      <c r="A473" s="34"/>
      <c r="B473" s="37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</row>
    <row r="474" spans="1:23" s="31" customFormat="1" ht="12.75" x14ac:dyDescent="0.2">
      <c r="A474" s="34"/>
      <c r="B474" s="37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</row>
    <row r="475" spans="1:23" s="31" customFormat="1" ht="12.75" x14ac:dyDescent="0.2">
      <c r="A475" s="34"/>
      <c r="B475" s="37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</row>
    <row r="476" spans="1:23" s="31" customFormat="1" ht="12.75" x14ac:dyDescent="0.2">
      <c r="A476" s="34"/>
      <c r="B476" s="37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</row>
    <row r="477" spans="1:23" s="31" customFormat="1" ht="12.75" x14ac:dyDescent="0.2">
      <c r="A477" s="34"/>
      <c r="B477" s="37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</row>
    <row r="478" spans="1:23" s="31" customFormat="1" ht="12.75" x14ac:dyDescent="0.2">
      <c r="A478" s="34"/>
      <c r="B478" s="37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</row>
    <row r="479" spans="1:23" s="31" customFormat="1" ht="12.75" x14ac:dyDescent="0.2">
      <c r="A479" s="34"/>
      <c r="B479" s="37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</row>
    <row r="480" spans="1:23" s="31" customFormat="1" ht="12.75" x14ac:dyDescent="0.2">
      <c r="A480" s="34"/>
      <c r="B480" s="37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</row>
    <row r="481" spans="1:23" s="31" customFormat="1" ht="12.75" x14ac:dyDescent="0.2">
      <c r="A481" s="34"/>
      <c r="B481" s="37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</row>
    <row r="482" spans="1:23" s="31" customFormat="1" ht="12.75" x14ac:dyDescent="0.2">
      <c r="A482" s="34"/>
      <c r="B482" s="37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</row>
    <row r="483" spans="1:23" s="31" customFormat="1" ht="12.75" x14ac:dyDescent="0.2">
      <c r="A483" s="34"/>
      <c r="B483" s="37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</row>
    <row r="484" spans="1:23" s="31" customFormat="1" ht="12.75" x14ac:dyDescent="0.2">
      <c r="A484" s="34"/>
      <c r="B484" s="37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</row>
    <row r="485" spans="1:23" s="31" customFormat="1" ht="12.75" x14ac:dyDescent="0.2">
      <c r="A485" s="34"/>
      <c r="B485" s="37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</row>
    <row r="486" spans="1:23" s="31" customFormat="1" ht="12.75" x14ac:dyDescent="0.2">
      <c r="A486" s="34"/>
      <c r="B486" s="37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</row>
    <row r="487" spans="1:23" s="31" customFormat="1" ht="12.75" x14ac:dyDescent="0.2">
      <c r="A487" s="34"/>
      <c r="B487" s="37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</row>
    <row r="488" spans="1:23" s="31" customFormat="1" ht="12.75" x14ac:dyDescent="0.2">
      <c r="A488" s="34"/>
      <c r="B488" s="37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</row>
    <row r="489" spans="1:23" s="31" customFormat="1" ht="12.75" x14ac:dyDescent="0.2">
      <c r="A489" s="34"/>
      <c r="B489" s="37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</row>
    <row r="490" spans="1:23" s="31" customFormat="1" ht="12.75" x14ac:dyDescent="0.2">
      <c r="A490" s="34"/>
      <c r="B490" s="37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</row>
    <row r="491" spans="1:23" s="31" customFormat="1" ht="12.75" x14ac:dyDescent="0.2">
      <c r="A491" s="34"/>
      <c r="B491" s="37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</row>
    <row r="492" spans="1:23" s="31" customFormat="1" ht="12.75" x14ac:dyDescent="0.2">
      <c r="A492" s="34"/>
      <c r="B492" s="37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</row>
    <row r="493" spans="1:23" s="31" customFormat="1" ht="12.75" x14ac:dyDescent="0.2">
      <c r="A493" s="34"/>
      <c r="B493" s="37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</row>
    <row r="494" spans="1:23" s="31" customFormat="1" ht="12.75" x14ac:dyDescent="0.2">
      <c r="A494" s="34"/>
      <c r="B494" s="37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</row>
    <row r="495" spans="1:23" s="31" customFormat="1" ht="12.75" x14ac:dyDescent="0.2">
      <c r="A495" s="34"/>
      <c r="B495" s="37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</row>
    <row r="496" spans="1:23" s="31" customFormat="1" ht="12.75" x14ac:dyDescent="0.2">
      <c r="A496" s="34"/>
      <c r="B496" s="37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</row>
    <row r="497" spans="1:23" s="31" customFormat="1" ht="12.75" x14ac:dyDescent="0.2">
      <c r="A497" s="34"/>
      <c r="B497" s="37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</row>
    <row r="498" spans="1:23" s="31" customFormat="1" ht="12.75" x14ac:dyDescent="0.2">
      <c r="A498" s="34"/>
      <c r="B498" s="37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</row>
    <row r="499" spans="1:23" s="31" customFormat="1" ht="12.75" x14ac:dyDescent="0.2">
      <c r="A499" s="34"/>
      <c r="B499" s="37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</row>
    <row r="500" spans="1:23" s="31" customFormat="1" ht="12.75" x14ac:dyDescent="0.2">
      <c r="A500" s="34"/>
      <c r="B500" s="37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</row>
    <row r="501" spans="1:23" s="31" customFormat="1" ht="12.75" x14ac:dyDescent="0.2">
      <c r="A501" s="34"/>
      <c r="B501" s="37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</row>
    <row r="502" spans="1:23" s="31" customFormat="1" ht="12.75" x14ac:dyDescent="0.2">
      <c r="A502" s="34"/>
      <c r="B502" s="37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</row>
    <row r="503" spans="1:23" s="31" customFormat="1" ht="12.75" x14ac:dyDescent="0.2">
      <c r="A503" s="34"/>
      <c r="B503" s="37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</row>
    <row r="504" spans="1:23" s="31" customFormat="1" ht="12.75" x14ac:dyDescent="0.2">
      <c r="A504" s="34"/>
      <c r="B504" s="37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</row>
    <row r="505" spans="1:23" s="31" customFormat="1" ht="12.75" x14ac:dyDescent="0.2">
      <c r="A505" s="34"/>
      <c r="B505" s="37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</row>
    <row r="506" spans="1:23" s="31" customFormat="1" ht="12.75" x14ac:dyDescent="0.2">
      <c r="A506" s="34"/>
      <c r="B506" s="37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</row>
    <row r="507" spans="1:23" s="31" customFormat="1" ht="12.75" x14ac:dyDescent="0.2">
      <c r="A507" s="34"/>
      <c r="B507" s="37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</row>
    <row r="508" spans="1:23" s="31" customFormat="1" ht="12.75" x14ac:dyDescent="0.2">
      <c r="A508" s="34"/>
      <c r="B508" s="37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</row>
    <row r="509" spans="1:23" s="31" customFormat="1" ht="12.75" x14ac:dyDescent="0.2">
      <c r="A509" s="34"/>
      <c r="B509" s="37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</row>
    <row r="510" spans="1:23" s="31" customFormat="1" ht="12.75" x14ac:dyDescent="0.2">
      <c r="A510" s="34"/>
      <c r="B510" s="37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</row>
    <row r="511" spans="1:23" s="31" customFormat="1" ht="12.75" x14ac:dyDescent="0.2">
      <c r="A511" s="34"/>
      <c r="B511" s="37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</row>
    <row r="512" spans="1:23" s="31" customFormat="1" ht="12.75" x14ac:dyDescent="0.2">
      <c r="A512" s="34"/>
      <c r="B512" s="37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</row>
    <row r="513" spans="1:23" s="31" customFormat="1" ht="12.75" x14ac:dyDescent="0.2">
      <c r="A513" s="34"/>
      <c r="B513" s="37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</row>
    <row r="514" spans="1:23" s="31" customFormat="1" ht="12.75" x14ac:dyDescent="0.2">
      <c r="A514" s="34"/>
      <c r="B514" s="37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</row>
    <row r="515" spans="1:23" s="31" customFormat="1" ht="12.75" x14ac:dyDescent="0.2">
      <c r="A515" s="34"/>
      <c r="B515" s="37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</row>
    <row r="516" spans="1:23" s="31" customFormat="1" ht="12.75" x14ac:dyDescent="0.2">
      <c r="A516" s="34"/>
      <c r="B516" s="37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</row>
    <row r="517" spans="1:23" s="31" customFormat="1" ht="12.75" x14ac:dyDescent="0.2">
      <c r="A517" s="34"/>
      <c r="B517" s="37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</row>
    <row r="518" spans="1:23" s="31" customFormat="1" ht="12.75" x14ac:dyDescent="0.2">
      <c r="A518" s="34"/>
      <c r="B518" s="37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</row>
    <row r="519" spans="1:23" s="31" customFormat="1" ht="12.75" x14ac:dyDescent="0.2">
      <c r="A519" s="34"/>
      <c r="B519" s="37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</row>
    <row r="520" spans="1:23" s="31" customFormat="1" ht="12.75" x14ac:dyDescent="0.2">
      <c r="A520" s="34"/>
      <c r="B520" s="37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</row>
    <row r="521" spans="1:23" s="31" customFormat="1" ht="12.75" x14ac:dyDescent="0.2">
      <c r="A521" s="34"/>
      <c r="B521" s="37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</row>
    <row r="522" spans="1:23" s="31" customFormat="1" ht="12.75" x14ac:dyDescent="0.2">
      <c r="A522" s="34"/>
      <c r="B522" s="37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</row>
    <row r="523" spans="1:23" s="31" customFormat="1" ht="12.75" x14ac:dyDescent="0.2">
      <c r="A523" s="34"/>
      <c r="B523" s="37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</row>
    <row r="524" spans="1:23" s="31" customFormat="1" ht="12.75" x14ac:dyDescent="0.2">
      <c r="A524" s="34"/>
      <c r="B524" s="37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</row>
    <row r="525" spans="1:23" s="31" customFormat="1" ht="12.75" x14ac:dyDescent="0.2">
      <c r="A525" s="34"/>
      <c r="B525" s="37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</row>
    <row r="526" spans="1:23" s="31" customFormat="1" ht="12.75" x14ac:dyDescent="0.2">
      <c r="A526" s="34"/>
      <c r="B526" s="37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</row>
    <row r="527" spans="1:23" s="31" customFormat="1" ht="12.75" x14ac:dyDescent="0.2">
      <c r="A527" s="34"/>
      <c r="B527" s="37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</row>
    <row r="528" spans="1:23" s="31" customFormat="1" ht="12.75" x14ac:dyDescent="0.2">
      <c r="A528" s="34"/>
      <c r="B528" s="37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</row>
    <row r="529" spans="1:23" s="31" customFormat="1" ht="12.75" x14ac:dyDescent="0.2">
      <c r="A529" s="34"/>
      <c r="B529" s="37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</row>
    <row r="530" spans="1:23" s="31" customFormat="1" ht="12.75" x14ac:dyDescent="0.2">
      <c r="A530" s="34"/>
      <c r="B530" s="37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</row>
    <row r="531" spans="1:23" s="31" customFormat="1" ht="12.75" x14ac:dyDescent="0.2">
      <c r="A531" s="34"/>
      <c r="B531" s="37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</row>
    <row r="532" spans="1:23" s="31" customFormat="1" ht="12.75" x14ac:dyDescent="0.2">
      <c r="A532" s="34"/>
      <c r="B532" s="37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</row>
    <row r="533" spans="1:23" s="31" customFormat="1" ht="12.75" x14ac:dyDescent="0.2">
      <c r="A533" s="34"/>
      <c r="B533" s="37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</row>
    <row r="534" spans="1:23" s="31" customFormat="1" ht="12.75" x14ac:dyDescent="0.2">
      <c r="A534" s="34"/>
      <c r="B534" s="37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</row>
    <row r="535" spans="1:23" s="31" customFormat="1" ht="12.75" x14ac:dyDescent="0.2">
      <c r="A535" s="34"/>
      <c r="B535" s="37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</row>
    <row r="536" spans="1:23" s="31" customFormat="1" ht="12.75" x14ac:dyDescent="0.2">
      <c r="A536" s="34"/>
      <c r="B536" s="37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</row>
    <row r="537" spans="1:23" s="31" customFormat="1" ht="12.75" x14ac:dyDescent="0.2">
      <c r="A537" s="34"/>
      <c r="B537" s="37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</row>
    <row r="538" spans="1:23" s="31" customFormat="1" ht="12.75" x14ac:dyDescent="0.2">
      <c r="A538" s="34"/>
      <c r="B538" s="37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</row>
    <row r="539" spans="1:23" s="31" customFormat="1" ht="12.75" x14ac:dyDescent="0.2">
      <c r="A539" s="34"/>
      <c r="B539" s="37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</row>
    <row r="540" spans="1:23" s="31" customFormat="1" ht="12.75" x14ac:dyDescent="0.2">
      <c r="A540" s="34"/>
      <c r="B540" s="37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</row>
    <row r="541" spans="1:23" s="31" customFormat="1" ht="12.75" x14ac:dyDescent="0.2">
      <c r="A541" s="34"/>
      <c r="B541" s="37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</row>
    <row r="542" spans="1:23" s="31" customFormat="1" ht="12.75" x14ac:dyDescent="0.2">
      <c r="A542" s="34"/>
      <c r="B542" s="37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</row>
    <row r="543" spans="1:23" s="31" customFormat="1" ht="12.75" x14ac:dyDescent="0.2">
      <c r="A543" s="34"/>
      <c r="B543" s="37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</row>
    <row r="544" spans="1:23" s="31" customFormat="1" ht="12.75" x14ac:dyDescent="0.2">
      <c r="A544" s="34"/>
      <c r="B544" s="37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</row>
    <row r="545" spans="1:23" s="31" customFormat="1" ht="12.75" x14ac:dyDescent="0.2">
      <c r="A545" s="34"/>
      <c r="B545" s="37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</row>
    <row r="546" spans="1:23" s="31" customFormat="1" ht="12.75" x14ac:dyDescent="0.2">
      <c r="A546" s="34"/>
      <c r="B546" s="37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</row>
    <row r="547" spans="1:23" s="31" customFormat="1" ht="12.75" x14ac:dyDescent="0.2">
      <c r="A547" s="34"/>
      <c r="B547" s="37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</row>
    <row r="548" spans="1:23" s="31" customFormat="1" ht="12.75" x14ac:dyDescent="0.2">
      <c r="A548" s="34"/>
      <c r="B548" s="37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</row>
    <row r="549" spans="1:23" s="31" customFormat="1" ht="12.75" x14ac:dyDescent="0.2">
      <c r="A549" s="34"/>
      <c r="B549" s="37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</row>
    <row r="550" spans="1:23" s="31" customFormat="1" ht="12.75" x14ac:dyDescent="0.2">
      <c r="A550" s="34"/>
      <c r="B550" s="37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</row>
    <row r="551" spans="1:23" s="31" customFormat="1" ht="12.75" x14ac:dyDescent="0.2">
      <c r="A551" s="34"/>
      <c r="B551" s="37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</row>
    <row r="552" spans="1:23" s="31" customFormat="1" ht="12.75" x14ac:dyDescent="0.2">
      <c r="A552" s="34"/>
      <c r="B552" s="37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</row>
    <row r="553" spans="1:23" s="31" customFormat="1" ht="12.75" x14ac:dyDescent="0.2">
      <c r="A553" s="34"/>
      <c r="B553" s="37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</row>
    <row r="554" spans="1:23" s="31" customFormat="1" ht="12.75" x14ac:dyDescent="0.2">
      <c r="A554" s="34"/>
      <c r="B554" s="37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</row>
    <row r="555" spans="1:23" s="31" customFormat="1" ht="12.75" x14ac:dyDescent="0.2">
      <c r="A555" s="34"/>
      <c r="B555" s="37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</row>
    <row r="556" spans="1:23" s="31" customFormat="1" ht="12.75" x14ac:dyDescent="0.2">
      <c r="A556" s="34"/>
      <c r="B556" s="37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</row>
    <row r="557" spans="1:23" s="31" customFormat="1" ht="12.75" x14ac:dyDescent="0.2">
      <c r="A557" s="34"/>
      <c r="B557" s="37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</row>
    <row r="558" spans="1:23" s="31" customFormat="1" ht="12.75" x14ac:dyDescent="0.2">
      <c r="A558" s="34"/>
      <c r="B558" s="37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</row>
    <row r="559" spans="1:23" s="31" customFormat="1" ht="12.75" x14ac:dyDescent="0.2">
      <c r="A559" s="34"/>
      <c r="B559" s="37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</row>
    <row r="560" spans="1:23" s="31" customFormat="1" ht="12.75" x14ac:dyDescent="0.2">
      <c r="A560" s="34"/>
      <c r="B560" s="37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</row>
    <row r="561" spans="1:23" s="31" customFormat="1" ht="12.75" x14ac:dyDescent="0.2">
      <c r="A561" s="34"/>
      <c r="B561" s="37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</row>
    <row r="562" spans="1:23" s="31" customFormat="1" ht="12.75" x14ac:dyDescent="0.2">
      <c r="A562" s="34"/>
      <c r="B562" s="37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</row>
    <row r="563" spans="1:23" s="31" customFormat="1" ht="12.75" x14ac:dyDescent="0.2">
      <c r="A563" s="34"/>
      <c r="B563" s="37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</row>
    <row r="564" spans="1:23" s="31" customFormat="1" ht="12.75" x14ac:dyDescent="0.2">
      <c r="A564" s="34"/>
      <c r="B564" s="37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</row>
    <row r="565" spans="1:23" s="31" customFormat="1" ht="12.75" x14ac:dyDescent="0.2">
      <c r="A565" s="34"/>
      <c r="B565" s="37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</row>
    <row r="566" spans="1:23" s="31" customFormat="1" ht="12.75" x14ac:dyDescent="0.2">
      <c r="A566" s="34"/>
      <c r="B566" s="37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</row>
    <row r="567" spans="1:23" s="31" customFormat="1" ht="12.75" x14ac:dyDescent="0.2">
      <c r="A567" s="34"/>
      <c r="B567" s="37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</row>
    <row r="568" spans="1:23" s="31" customFormat="1" ht="12.75" x14ac:dyDescent="0.2">
      <c r="A568" s="34"/>
      <c r="B568" s="37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</row>
    <row r="569" spans="1:23" s="31" customFormat="1" ht="12.75" x14ac:dyDescent="0.2">
      <c r="A569" s="34"/>
      <c r="B569" s="37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</row>
    <row r="570" spans="1:23" s="31" customFormat="1" ht="12.75" x14ac:dyDescent="0.2">
      <c r="A570" s="34"/>
      <c r="B570" s="37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</row>
    <row r="571" spans="1:23" s="31" customFormat="1" ht="12.75" x14ac:dyDescent="0.2">
      <c r="A571" s="34"/>
      <c r="B571" s="37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</row>
    <row r="572" spans="1:23" s="31" customFormat="1" ht="12.75" x14ac:dyDescent="0.2">
      <c r="A572" s="34"/>
      <c r="B572" s="37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</row>
    <row r="573" spans="1:23" s="31" customFormat="1" ht="12.75" x14ac:dyDescent="0.2">
      <c r="A573" s="34"/>
      <c r="B573" s="37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</row>
    <row r="574" spans="1:23" s="31" customFormat="1" ht="12.75" x14ac:dyDescent="0.2">
      <c r="A574" s="34"/>
      <c r="B574" s="37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</row>
    <row r="575" spans="1:23" s="31" customFormat="1" ht="12.75" x14ac:dyDescent="0.2">
      <c r="A575" s="34"/>
      <c r="B575" s="37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</row>
    <row r="576" spans="1:23" s="31" customFormat="1" ht="12.75" x14ac:dyDescent="0.2">
      <c r="A576" s="34"/>
      <c r="B576" s="37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</row>
    <row r="577" spans="1:23" s="31" customFormat="1" ht="12.75" x14ac:dyDescent="0.2">
      <c r="A577" s="34"/>
      <c r="B577" s="37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</row>
    <row r="578" spans="1:23" s="31" customFormat="1" ht="12.75" x14ac:dyDescent="0.2">
      <c r="A578" s="34"/>
      <c r="B578" s="37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</row>
    <row r="579" spans="1:23" s="31" customFormat="1" ht="12.75" x14ac:dyDescent="0.2">
      <c r="A579" s="34"/>
      <c r="B579" s="37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</row>
    <row r="580" spans="1:23" s="31" customFormat="1" ht="12.75" x14ac:dyDescent="0.2">
      <c r="A580" s="34"/>
      <c r="B580" s="37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</row>
    <row r="581" spans="1:23" s="31" customFormat="1" ht="12.75" x14ac:dyDescent="0.2">
      <c r="A581" s="34"/>
      <c r="B581" s="37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</row>
    <row r="582" spans="1:23" s="31" customFormat="1" ht="12.75" x14ac:dyDescent="0.2">
      <c r="A582" s="34"/>
      <c r="B582" s="37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</row>
    <row r="583" spans="1:23" s="31" customFormat="1" ht="12.75" x14ac:dyDescent="0.2">
      <c r="A583" s="34"/>
      <c r="B583" s="37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</row>
    <row r="584" spans="1:23" s="31" customFormat="1" ht="12.75" x14ac:dyDescent="0.2">
      <c r="A584" s="34"/>
      <c r="B584" s="37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</row>
    <row r="585" spans="1:23" s="31" customFormat="1" ht="12.75" x14ac:dyDescent="0.2">
      <c r="A585" s="34"/>
      <c r="B585" s="37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</row>
    <row r="586" spans="1:23" s="31" customFormat="1" ht="12.75" x14ac:dyDescent="0.2">
      <c r="A586" s="34"/>
      <c r="B586" s="37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</row>
    <row r="587" spans="1:23" s="31" customFormat="1" ht="12.75" x14ac:dyDescent="0.2">
      <c r="A587" s="34"/>
      <c r="B587" s="37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</row>
    <row r="588" spans="1:23" s="31" customFormat="1" ht="12.75" x14ac:dyDescent="0.2">
      <c r="A588" s="34"/>
      <c r="B588" s="37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</row>
    <row r="589" spans="1:23" s="31" customFormat="1" ht="12.75" x14ac:dyDescent="0.2">
      <c r="A589" s="34"/>
      <c r="B589" s="37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</row>
    <row r="590" spans="1:23" s="31" customFormat="1" ht="12.75" x14ac:dyDescent="0.2">
      <c r="A590" s="34"/>
      <c r="B590" s="37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</row>
    <row r="591" spans="1:23" s="31" customFormat="1" ht="12.75" x14ac:dyDescent="0.2">
      <c r="A591" s="34"/>
      <c r="B591" s="37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</row>
    <row r="592" spans="1:23" s="31" customFormat="1" ht="12.75" x14ac:dyDescent="0.2">
      <c r="A592" s="34"/>
      <c r="B592" s="37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</row>
    <row r="593" spans="1:23" s="31" customFormat="1" ht="12.75" x14ac:dyDescent="0.2">
      <c r="A593" s="34"/>
      <c r="B593" s="37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</row>
    <row r="594" spans="1:23" s="31" customFormat="1" ht="12.75" x14ac:dyDescent="0.2">
      <c r="A594" s="34"/>
      <c r="B594" s="37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</row>
    <row r="595" spans="1:23" s="31" customFormat="1" ht="12.75" x14ac:dyDescent="0.2">
      <c r="A595" s="34"/>
      <c r="B595" s="37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</row>
    <row r="596" spans="1:23" s="31" customFormat="1" ht="12.75" x14ac:dyDescent="0.2">
      <c r="A596" s="34"/>
      <c r="B596" s="37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</row>
    <row r="597" spans="1:23" s="31" customFormat="1" ht="12.75" x14ac:dyDescent="0.2">
      <c r="A597" s="34"/>
      <c r="B597" s="37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</row>
    <row r="598" spans="1:23" s="31" customFormat="1" ht="12.75" x14ac:dyDescent="0.2">
      <c r="A598" s="34"/>
      <c r="B598" s="37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</row>
    <row r="599" spans="1:23" s="31" customFormat="1" ht="12.75" x14ac:dyDescent="0.2">
      <c r="A599" s="34"/>
      <c r="B599" s="37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</row>
    <row r="600" spans="1:23" s="31" customFormat="1" ht="12.75" x14ac:dyDescent="0.2">
      <c r="A600" s="34"/>
      <c r="B600" s="37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</row>
    <row r="601" spans="1:23" s="31" customFormat="1" ht="12.75" x14ac:dyDescent="0.2">
      <c r="A601" s="34"/>
      <c r="B601" s="37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</row>
    <row r="602" spans="1:23" s="31" customFormat="1" ht="12.75" x14ac:dyDescent="0.2">
      <c r="A602" s="34"/>
      <c r="B602" s="37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</row>
    <row r="603" spans="1:23" s="31" customFormat="1" ht="12.75" x14ac:dyDescent="0.2">
      <c r="A603" s="34"/>
      <c r="B603" s="37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</row>
    <row r="604" spans="1:23" s="31" customFormat="1" ht="12.75" x14ac:dyDescent="0.2">
      <c r="A604" s="34"/>
      <c r="B604" s="37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</row>
    <row r="605" spans="1:23" s="31" customFormat="1" ht="12.75" x14ac:dyDescent="0.2">
      <c r="A605" s="34"/>
      <c r="B605" s="37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</row>
    <row r="606" spans="1:23" s="31" customFormat="1" ht="12.75" x14ac:dyDescent="0.2">
      <c r="A606" s="34"/>
      <c r="B606" s="37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</row>
    <row r="607" spans="1:23" s="31" customFormat="1" ht="12.75" x14ac:dyDescent="0.2">
      <c r="A607" s="34"/>
      <c r="B607" s="37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</row>
    <row r="608" spans="1:23" s="31" customFormat="1" ht="12.75" x14ac:dyDescent="0.2">
      <c r="A608" s="34"/>
      <c r="B608" s="37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</row>
    <row r="609" spans="1:23" s="31" customFormat="1" ht="12.75" x14ac:dyDescent="0.2">
      <c r="A609" s="34"/>
      <c r="B609" s="37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</row>
    <row r="610" spans="1:23" s="31" customFormat="1" ht="12.75" x14ac:dyDescent="0.2">
      <c r="A610" s="34"/>
      <c r="B610" s="37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</row>
    <row r="611" spans="1:23" s="31" customFormat="1" ht="12.75" x14ac:dyDescent="0.2">
      <c r="A611" s="34"/>
      <c r="B611" s="37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</row>
    <row r="612" spans="1:23" s="31" customFormat="1" ht="12.75" x14ac:dyDescent="0.2">
      <c r="A612" s="34"/>
      <c r="B612" s="37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</row>
    <row r="613" spans="1:23" s="31" customFormat="1" ht="12.75" x14ac:dyDescent="0.2">
      <c r="A613" s="34"/>
      <c r="B613" s="37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</row>
    <row r="614" spans="1:23" s="31" customFormat="1" ht="12.75" x14ac:dyDescent="0.2">
      <c r="A614" s="34"/>
      <c r="B614" s="37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</row>
    <row r="615" spans="1:23" s="31" customFormat="1" ht="12.75" x14ac:dyDescent="0.2">
      <c r="A615" s="34"/>
      <c r="B615" s="37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</row>
    <row r="616" spans="1:23" s="31" customFormat="1" ht="12.75" x14ac:dyDescent="0.2">
      <c r="A616" s="34"/>
      <c r="B616" s="37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</row>
    <row r="617" spans="1:23" s="31" customFormat="1" ht="12.75" x14ac:dyDescent="0.2">
      <c r="A617" s="34"/>
      <c r="B617" s="37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</row>
    <row r="618" spans="1:23" s="31" customFormat="1" ht="12.75" x14ac:dyDescent="0.2">
      <c r="A618" s="34"/>
      <c r="B618" s="37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</row>
    <row r="619" spans="1:23" s="31" customFormat="1" ht="12.75" x14ac:dyDescent="0.2">
      <c r="A619" s="34"/>
      <c r="B619" s="37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</row>
    <row r="620" spans="1:23" s="31" customFormat="1" ht="12.75" x14ac:dyDescent="0.2">
      <c r="A620" s="34"/>
      <c r="B620" s="37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</row>
    <row r="621" spans="1:23" s="31" customFormat="1" ht="12.75" x14ac:dyDescent="0.2">
      <c r="A621" s="34"/>
      <c r="B621" s="37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</row>
    <row r="622" spans="1:23" s="31" customFormat="1" ht="12.75" x14ac:dyDescent="0.2">
      <c r="A622" s="34"/>
      <c r="B622" s="37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</row>
    <row r="623" spans="1:23" s="31" customFormat="1" ht="12.75" x14ac:dyDescent="0.2">
      <c r="A623" s="34"/>
      <c r="B623" s="37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</row>
    <row r="624" spans="1:23" s="31" customFormat="1" ht="12.75" x14ac:dyDescent="0.2">
      <c r="A624" s="34"/>
      <c r="B624" s="37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</row>
    <row r="625" spans="1:23" s="31" customFormat="1" ht="12.75" x14ac:dyDescent="0.2">
      <c r="A625" s="34"/>
      <c r="B625" s="37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</row>
    <row r="626" spans="1:23" s="31" customFormat="1" ht="12.75" x14ac:dyDescent="0.2">
      <c r="A626" s="34"/>
      <c r="B626" s="37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</row>
    <row r="627" spans="1:23" s="31" customFormat="1" ht="12.75" x14ac:dyDescent="0.2">
      <c r="A627" s="34"/>
      <c r="B627" s="37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</row>
    <row r="628" spans="1:23" s="31" customFormat="1" ht="12.75" x14ac:dyDescent="0.2">
      <c r="A628" s="34"/>
      <c r="B628" s="37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</row>
    <row r="629" spans="1:23" s="31" customFormat="1" ht="12.75" x14ac:dyDescent="0.2">
      <c r="A629" s="34"/>
      <c r="B629" s="37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</row>
    <row r="630" spans="1:23" s="31" customFormat="1" ht="12.75" x14ac:dyDescent="0.2">
      <c r="A630" s="34"/>
      <c r="B630" s="37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</row>
    <row r="631" spans="1:23" s="31" customFormat="1" ht="12.75" x14ac:dyDescent="0.2">
      <c r="A631" s="34"/>
      <c r="B631" s="37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</row>
    <row r="632" spans="1:23" s="31" customFormat="1" ht="12.75" x14ac:dyDescent="0.2">
      <c r="A632" s="34"/>
      <c r="B632" s="37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</row>
    <row r="633" spans="1:23" s="31" customFormat="1" ht="12.75" x14ac:dyDescent="0.2">
      <c r="A633" s="34"/>
      <c r="B633" s="37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</row>
    <row r="634" spans="1:23" s="31" customFormat="1" ht="12.75" x14ac:dyDescent="0.2">
      <c r="A634" s="34"/>
      <c r="B634" s="37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</row>
    <row r="635" spans="1:23" s="31" customFormat="1" ht="12.75" x14ac:dyDescent="0.2">
      <c r="A635" s="34"/>
      <c r="B635" s="37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</row>
    <row r="636" spans="1:23" s="31" customFormat="1" ht="12.75" x14ac:dyDescent="0.2">
      <c r="A636" s="34"/>
      <c r="B636" s="37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</row>
    <row r="637" spans="1:23" s="31" customFormat="1" ht="12.75" x14ac:dyDescent="0.2">
      <c r="A637" s="34"/>
      <c r="B637" s="37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</row>
    <row r="638" spans="1:23" s="31" customFormat="1" ht="12.75" x14ac:dyDescent="0.2">
      <c r="A638" s="34"/>
      <c r="B638" s="37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</row>
    <row r="639" spans="1:23" s="31" customFormat="1" ht="12.75" x14ac:dyDescent="0.2">
      <c r="A639" s="34"/>
      <c r="B639" s="37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</row>
    <row r="640" spans="1:23" s="31" customFormat="1" ht="12.75" x14ac:dyDescent="0.2">
      <c r="A640" s="34"/>
      <c r="B640" s="37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</row>
    <row r="641" spans="1:23" s="31" customFormat="1" ht="12.75" x14ac:dyDescent="0.2">
      <c r="A641" s="34"/>
      <c r="B641" s="37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</row>
    <row r="642" spans="1:23" s="31" customFormat="1" ht="12.75" x14ac:dyDescent="0.2">
      <c r="A642" s="34"/>
      <c r="B642" s="37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</row>
    <row r="643" spans="1:23" s="31" customFormat="1" ht="12.75" x14ac:dyDescent="0.2">
      <c r="A643" s="34"/>
      <c r="B643" s="37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</row>
    <row r="644" spans="1:23" s="31" customFormat="1" ht="12.75" x14ac:dyDescent="0.2">
      <c r="A644" s="34"/>
      <c r="B644" s="37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</row>
    <row r="645" spans="1:23" s="31" customFormat="1" ht="12.75" x14ac:dyDescent="0.2">
      <c r="A645" s="34"/>
      <c r="B645" s="37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</row>
    <row r="646" spans="1:23" s="31" customFormat="1" ht="12.75" x14ac:dyDescent="0.2">
      <c r="A646" s="34"/>
      <c r="B646" s="37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</row>
    <row r="647" spans="1:23" s="31" customFormat="1" ht="12.75" x14ac:dyDescent="0.2">
      <c r="A647" s="34"/>
      <c r="B647" s="37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</row>
    <row r="648" spans="1:23" s="31" customFormat="1" ht="12.75" x14ac:dyDescent="0.2">
      <c r="A648" s="34"/>
      <c r="B648" s="37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</row>
    <row r="649" spans="1:23" s="31" customFormat="1" ht="12.75" x14ac:dyDescent="0.2">
      <c r="A649" s="34"/>
      <c r="B649" s="37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</row>
    <row r="650" spans="1:23" s="31" customFormat="1" ht="12.75" x14ac:dyDescent="0.2">
      <c r="A650" s="34"/>
      <c r="B650" s="37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</row>
    <row r="651" spans="1:23" s="31" customFormat="1" ht="12.75" x14ac:dyDescent="0.2">
      <c r="A651" s="34"/>
      <c r="B651" s="37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</row>
    <row r="652" spans="1:23" s="31" customFormat="1" ht="12.75" x14ac:dyDescent="0.2">
      <c r="A652" s="34"/>
      <c r="B652" s="37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</row>
    <row r="653" spans="1:23" s="31" customFormat="1" ht="12.75" x14ac:dyDescent="0.2">
      <c r="A653" s="34"/>
      <c r="B653" s="37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</row>
    <row r="654" spans="1:23" ht="12.75" x14ac:dyDescent="0.2">
      <c r="A654" s="34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75" x14ac:dyDescent="0.2">
      <c r="A655" s="34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75" x14ac:dyDescent="0.2">
      <c r="A656" s="34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75" x14ac:dyDescent="0.2">
      <c r="A657" s="34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75" x14ac:dyDescent="0.2">
      <c r="A658" s="34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75" x14ac:dyDescent="0.2">
      <c r="A659" s="34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75" x14ac:dyDescent="0.2">
      <c r="A660" s="34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75" x14ac:dyDescent="0.2">
      <c r="A661" s="34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75" x14ac:dyDescent="0.2">
      <c r="A662" s="34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75" x14ac:dyDescent="0.2">
      <c r="A663" s="34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75" x14ac:dyDescent="0.2">
      <c r="A664" s="34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75" x14ac:dyDescent="0.2">
      <c r="A665" s="34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75" x14ac:dyDescent="0.2">
      <c r="A666" s="34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75" x14ac:dyDescent="0.2">
      <c r="A667" s="34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75" x14ac:dyDescent="0.2">
      <c r="A668" s="34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75" x14ac:dyDescent="0.2">
      <c r="A669" s="34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75" x14ac:dyDescent="0.2">
      <c r="A670" s="34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75" x14ac:dyDescent="0.2">
      <c r="A671" s="34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75" x14ac:dyDescent="0.2">
      <c r="A672" s="34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75" x14ac:dyDescent="0.2">
      <c r="A673" s="34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75" x14ac:dyDescent="0.2">
      <c r="A674" s="34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75" x14ac:dyDescent="0.2">
      <c r="A675" s="34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75" x14ac:dyDescent="0.2">
      <c r="A676" s="34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75" x14ac:dyDescent="0.2">
      <c r="A677" s="34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75" x14ac:dyDescent="0.2">
      <c r="A678" s="34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75" x14ac:dyDescent="0.2">
      <c r="A679" s="34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75" x14ac:dyDescent="0.2">
      <c r="A680" s="34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75" x14ac:dyDescent="0.2">
      <c r="A681" s="34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75" x14ac:dyDescent="0.2">
      <c r="A682" s="34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75" x14ac:dyDescent="0.2">
      <c r="A683" s="34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75" x14ac:dyDescent="0.2">
      <c r="A684" s="34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75" x14ac:dyDescent="0.2">
      <c r="A685" s="34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75" x14ac:dyDescent="0.2">
      <c r="A686" s="34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75" x14ac:dyDescent="0.2">
      <c r="A687" s="34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75" x14ac:dyDescent="0.2">
      <c r="A688" s="34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75" x14ac:dyDescent="0.2">
      <c r="A689" s="34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75" x14ac:dyDescent="0.2">
      <c r="A690" s="34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75" x14ac:dyDescent="0.2">
      <c r="A691" s="34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75" x14ac:dyDescent="0.2">
      <c r="A692" s="34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75" x14ac:dyDescent="0.2">
      <c r="A693" s="34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75" x14ac:dyDescent="0.2">
      <c r="A694" s="34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75" x14ac:dyDescent="0.2">
      <c r="A695" s="34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75" x14ac:dyDescent="0.2">
      <c r="A696" s="34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75" x14ac:dyDescent="0.2">
      <c r="A697" s="34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75" x14ac:dyDescent="0.2">
      <c r="A698" s="34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75" x14ac:dyDescent="0.2">
      <c r="A699" s="34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75" x14ac:dyDescent="0.2">
      <c r="A700" s="34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75" x14ac:dyDescent="0.2">
      <c r="A701" s="34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75" x14ac:dyDescent="0.2">
      <c r="A702" s="34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75" x14ac:dyDescent="0.2">
      <c r="A703" s="34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75" x14ac:dyDescent="0.2">
      <c r="A704" s="34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75" x14ac:dyDescent="0.2">
      <c r="A705" s="34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75" x14ac:dyDescent="0.2">
      <c r="A706" s="34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75" x14ac:dyDescent="0.2">
      <c r="A707" s="34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75" x14ac:dyDescent="0.2">
      <c r="A708" s="34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75" x14ac:dyDescent="0.2">
      <c r="A709" s="34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75" x14ac:dyDescent="0.2">
      <c r="A710" s="34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75" x14ac:dyDescent="0.2">
      <c r="A711" s="34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75" x14ac:dyDescent="0.2">
      <c r="A712" s="34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75" x14ac:dyDescent="0.2">
      <c r="A713" s="34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75" x14ac:dyDescent="0.2">
      <c r="A714" s="34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75" x14ac:dyDescent="0.2">
      <c r="A715" s="34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75" x14ac:dyDescent="0.2">
      <c r="A716" s="34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75" x14ac:dyDescent="0.2">
      <c r="A717" s="34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75" x14ac:dyDescent="0.2">
      <c r="A718" s="34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75" x14ac:dyDescent="0.2">
      <c r="A719" s="34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75" x14ac:dyDescent="0.2">
      <c r="A720" s="34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75" x14ac:dyDescent="0.2">
      <c r="A721" s="34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75" x14ac:dyDescent="0.2">
      <c r="A722" s="34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75" x14ac:dyDescent="0.2">
      <c r="A723" s="34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75" x14ac:dyDescent="0.2">
      <c r="A724" s="34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75" x14ac:dyDescent="0.2">
      <c r="A725" s="34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75" x14ac:dyDescent="0.2">
      <c r="A726" s="34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75" x14ac:dyDescent="0.2">
      <c r="A727" s="34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75" x14ac:dyDescent="0.2">
      <c r="A728" s="34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75" x14ac:dyDescent="0.2">
      <c r="A729" s="34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75" x14ac:dyDescent="0.2">
      <c r="A730" s="34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75" x14ac:dyDescent="0.2">
      <c r="A731" s="34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75" x14ac:dyDescent="0.2">
      <c r="A732" s="34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75" x14ac:dyDescent="0.2">
      <c r="A733" s="34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75" x14ac:dyDescent="0.2">
      <c r="A734" s="34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75" x14ac:dyDescent="0.2">
      <c r="A735" s="34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75" x14ac:dyDescent="0.2">
      <c r="A736" s="34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75" x14ac:dyDescent="0.2">
      <c r="A737" s="34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75" x14ac:dyDescent="0.2">
      <c r="A738" s="34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75" x14ac:dyDescent="0.2">
      <c r="A739" s="34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75" x14ac:dyDescent="0.2">
      <c r="A740" s="34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75" x14ac:dyDescent="0.2">
      <c r="A741" s="34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75" x14ac:dyDescent="0.2">
      <c r="A742" s="34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75" x14ac:dyDescent="0.2">
      <c r="A743" s="34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75" x14ac:dyDescent="0.2">
      <c r="A744" s="34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75" x14ac:dyDescent="0.2">
      <c r="A745" s="34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75" x14ac:dyDescent="0.2">
      <c r="A746" s="34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75" x14ac:dyDescent="0.2">
      <c r="A747" s="34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75" x14ac:dyDescent="0.2">
      <c r="A748" s="34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75" x14ac:dyDescent="0.2">
      <c r="A749" s="34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75" x14ac:dyDescent="0.2">
      <c r="A750" s="34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75" x14ac:dyDescent="0.2">
      <c r="A751" s="34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75" x14ac:dyDescent="0.2">
      <c r="A752" s="34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75" x14ac:dyDescent="0.2">
      <c r="A753" s="34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75" x14ac:dyDescent="0.2">
      <c r="A754" s="34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75" x14ac:dyDescent="0.2">
      <c r="A755" s="34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75" x14ac:dyDescent="0.2">
      <c r="A756" s="34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75" x14ac:dyDescent="0.2">
      <c r="A757" s="34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75" x14ac:dyDescent="0.2">
      <c r="A758" s="34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75" x14ac:dyDescent="0.2">
      <c r="A759" s="34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75" x14ac:dyDescent="0.2">
      <c r="A760" s="34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75" x14ac:dyDescent="0.2">
      <c r="A761" s="34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75" x14ac:dyDescent="0.2">
      <c r="A762" s="34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75" x14ac:dyDescent="0.2">
      <c r="A763" s="34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75" x14ac:dyDescent="0.2">
      <c r="A764" s="34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75" x14ac:dyDescent="0.2">
      <c r="A765" s="34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75" x14ac:dyDescent="0.2">
      <c r="A766" s="34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75" x14ac:dyDescent="0.2">
      <c r="A767" s="34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75" x14ac:dyDescent="0.2">
      <c r="A768" s="34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75" x14ac:dyDescent="0.2">
      <c r="A769" s="34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75" x14ac:dyDescent="0.2">
      <c r="A770" s="34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75" x14ac:dyDescent="0.2">
      <c r="A771" s="34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75" x14ac:dyDescent="0.2">
      <c r="A772" s="34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75" x14ac:dyDescent="0.2">
      <c r="A773" s="34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75" x14ac:dyDescent="0.2">
      <c r="A774" s="34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75" x14ac:dyDescent="0.2">
      <c r="A775" s="34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75" x14ac:dyDescent="0.2">
      <c r="A776" s="34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75" x14ac:dyDescent="0.2">
      <c r="A777" s="34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75" x14ac:dyDescent="0.2">
      <c r="A778" s="34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75" x14ac:dyDescent="0.2">
      <c r="A779" s="34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75" x14ac:dyDescent="0.2">
      <c r="A780" s="34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75" x14ac:dyDescent="0.2">
      <c r="A781" s="34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75" x14ac:dyDescent="0.2">
      <c r="A782" s="34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75" x14ac:dyDescent="0.2">
      <c r="A783" s="34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75" x14ac:dyDescent="0.2">
      <c r="A784" s="34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75" x14ac:dyDescent="0.2">
      <c r="A785" s="34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75" x14ac:dyDescent="0.2">
      <c r="A786" s="34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75" x14ac:dyDescent="0.2">
      <c r="A787" s="34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75" x14ac:dyDescent="0.2">
      <c r="A788" s="34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75" x14ac:dyDescent="0.2">
      <c r="A789" s="34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75" x14ac:dyDescent="0.2">
      <c r="A790" s="34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75" x14ac:dyDescent="0.2">
      <c r="A791" s="34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75" x14ac:dyDescent="0.2">
      <c r="A792" s="34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75" x14ac:dyDescent="0.2">
      <c r="A793" s="34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75" x14ac:dyDescent="0.2">
      <c r="A794" s="34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75" x14ac:dyDescent="0.2">
      <c r="A795" s="34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75" x14ac:dyDescent="0.2">
      <c r="A796" s="34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75" x14ac:dyDescent="0.2">
      <c r="A797" s="34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75" x14ac:dyDescent="0.2">
      <c r="A798" s="34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75" x14ac:dyDescent="0.2">
      <c r="A799" s="34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75" x14ac:dyDescent="0.2">
      <c r="A800" s="34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75" x14ac:dyDescent="0.2">
      <c r="A801" s="34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75" x14ac:dyDescent="0.2">
      <c r="A802" s="34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75" x14ac:dyDescent="0.2">
      <c r="A803" s="34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75" x14ac:dyDescent="0.2">
      <c r="A804" s="34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75" x14ac:dyDescent="0.2">
      <c r="A805" s="34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75" x14ac:dyDescent="0.2">
      <c r="A806" s="34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75" x14ac:dyDescent="0.2">
      <c r="A807" s="34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75" x14ac:dyDescent="0.2">
      <c r="A808" s="34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75" x14ac:dyDescent="0.2">
      <c r="A809" s="34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75" x14ac:dyDescent="0.2">
      <c r="A810" s="34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75" x14ac:dyDescent="0.2">
      <c r="A811" s="34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75" x14ac:dyDescent="0.2">
      <c r="A812" s="34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75" x14ac:dyDescent="0.2">
      <c r="A813" s="34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75" x14ac:dyDescent="0.2">
      <c r="A814" s="34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75" x14ac:dyDescent="0.2">
      <c r="A815" s="34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75" x14ac:dyDescent="0.2">
      <c r="A816" s="34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75" x14ac:dyDescent="0.2">
      <c r="A817" s="34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75" x14ac:dyDescent="0.2">
      <c r="A818" s="34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75" x14ac:dyDescent="0.2">
      <c r="A819" s="34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75" x14ac:dyDescent="0.2">
      <c r="A820" s="34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75" x14ac:dyDescent="0.2">
      <c r="A821" s="34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75" x14ac:dyDescent="0.2">
      <c r="A822" s="34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75" x14ac:dyDescent="0.2">
      <c r="A823" s="34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75" x14ac:dyDescent="0.2">
      <c r="A824" s="34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75" x14ac:dyDescent="0.2">
      <c r="A825" s="34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75" x14ac:dyDescent="0.2">
      <c r="A826" s="34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75" x14ac:dyDescent="0.2">
      <c r="A827" s="34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75" x14ac:dyDescent="0.2">
      <c r="A828" s="34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75" x14ac:dyDescent="0.2">
      <c r="A829" s="34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75" x14ac:dyDescent="0.2">
      <c r="A830" s="34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75" x14ac:dyDescent="0.2">
      <c r="A831" s="34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75" x14ac:dyDescent="0.2">
      <c r="A832" s="34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75" x14ac:dyDescent="0.2">
      <c r="A833" s="34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75" x14ac:dyDescent="0.2">
      <c r="A834" s="34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75" x14ac:dyDescent="0.2">
      <c r="A835" s="34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75" x14ac:dyDescent="0.2">
      <c r="A836" s="34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75" x14ac:dyDescent="0.2">
      <c r="A837" s="34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75" x14ac:dyDescent="0.2">
      <c r="A838" s="34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75" x14ac:dyDescent="0.2">
      <c r="A839" s="34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75" x14ac:dyDescent="0.2">
      <c r="A840" s="34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75" x14ac:dyDescent="0.2">
      <c r="A841" s="34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75" x14ac:dyDescent="0.2">
      <c r="A842" s="34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75" x14ac:dyDescent="0.2">
      <c r="A843" s="34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75" x14ac:dyDescent="0.2">
      <c r="A844" s="34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75" x14ac:dyDescent="0.2">
      <c r="A845" s="34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75" x14ac:dyDescent="0.2">
      <c r="A846" s="34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75" x14ac:dyDescent="0.2">
      <c r="A847" s="34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75" x14ac:dyDescent="0.2">
      <c r="A848" s="34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75" x14ac:dyDescent="0.2">
      <c r="A849" s="34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75" x14ac:dyDescent="0.2">
      <c r="A850" s="34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75" x14ac:dyDescent="0.2">
      <c r="A851" s="34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75" x14ac:dyDescent="0.2">
      <c r="A852" s="34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75" x14ac:dyDescent="0.2">
      <c r="A853" s="34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75" x14ac:dyDescent="0.2">
      <c r="A854" s="34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75" x14ac:dyDescent="0.2">
      <c r="A855" s="34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75" x14ac:dyDescent="0.2">
      <c r="A856" s="34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75" x14ac:dyDescent="0.2">
      <c r="A857" s="34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75" x14ac:dyDescent="0.2">
      <c r="A858" s="34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75" x14ac:dyDescent="0.2">
      <c r="A859" s="34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75" x14ac:dyDescent="0.2">
      <c r="A860" s="34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75" x14ac:dyDescent="0.2">
      <c r="A861" s="34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75" x14ac:dyDescent="0.2">
      <c r="A862" s="34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75" x14ac:dyDescent="0.2">
      <c r="A863" s="34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75" x14ac:dyDescent="0.2">
      <c r="A864" s="34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75" x14ac:dyDescent="0.2">
      <c r="A865" s="34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75" x14ac:dyDescent="0.2">
      <c r="A866" s="34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75" x14ac:dyDescent="0.2">
      <c r="A867" s="34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75" x14ac:dyDescent="0.2">
      <c r="A868" s="34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75" x14ac:dyDescent="0.2">
      <c r="A869" s="34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75" x14ac:dyDescent="0.2">
      <c r="A870" s="34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75" x14ac:dyDescent="0.2">
      <c r="A871" s="34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75" x14ac:dyDescent="0.2">
      <c r="A872" s="34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75" x14ac:dyDescent="0.2">
      <c r="A873" s="34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75" x14ac:dyDescent="0.2">
      <c r="A874" s="34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75" x14ac:dyDescent="0.2">
      <c r="A875" s="34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75" x14ac:dyDescent="0.2">
      <c r="A876" s="34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75" x14ac:dyDescent="0.2">
      <c r="A877" s="34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75" x14ac:dyDescent="0.2">
      <c r="A878" s="34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75" x14ac:dyDescent="0.2">
      <c r="A879" s="34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75" x14ac:dyDescent="0.2">
      <c r="A880" s="34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75" x14ac:dyDescent="0.2">
      <c r="A881" s="34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75" x14ac:dyDescent="0.2">
      <c r="A882" s="34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75" x14ac:dyDescent="0.2">
      <c r="A883" s="34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75" x14ac:dyDescent="0.2">
      <c r="A884" s="34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75" x14ac:dyDescent="0.2">
      <c r="A885" s="34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75" x14ac:dyDescent="0.2">
      <c r="A886" s="34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75" x14ac:dyDescent="0.2">
      <c r="A887" s="34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75" x14ac:dyDescent="0.2">
      <c r="A888" s="34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75" x14ac:dyDescent="0.2">
      <c r="A889" s="34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75" x14ac:dyDescent="0.2">
      <c r="A890" s="34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75" x14ac:dyDescent="0.2">
      <c r="A891" s="34"/>
      <c r="B891" s="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75" x14ac:dyDescent="0.2">
      <c r="A892" s="34"/>
      <c r="B892" s="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75" x14ac:dyDescent="0.2">
      <c r="A893" s="34"/>
      <c r="B893" s="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75" x14ac:dyDescent="0.2">
      <c r="A894" s="34"/>
      <c r="B894" s="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75" x14ac:dyDescent="0.2">
      <c r="A895" s="34"/>
      <c r="B895" s="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75" x14ac:dyDescent="0.2">
      <c r="A896" s="34"/>
      <c r="B896" s="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75" x14ac:dyDescent="0.2">
      <c r="A897" s="34"/>
      <c r="B897" s="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75" x14ac:dyDescent="0.2">
      <c r="A898" s="34"/>
      <c r="B898" s="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75" x14ac:dyDescent="0.2">
      <c r="A899" s="34"/>
      <c r="B899" s="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75" x14ac:dyDescent="0.2">
      <c r="A900" s="34"/>
      <c r="B900" s="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75" x14ac:dyDescent="0.2">
      <c r="A901" s="34"/>
      <c r="B901" s="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75" x14ac:dyDescent="0.2">
      <c r="A902" s="34"/>
      <c r="B902" s="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75" x14ac:dyDescent="0.2">
      <c r="A903" s="34"/>
      <c r="B903" s="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75" x14ac:dyDescent="0.2">
      <c r="A904" s="34"/>
      <c r="B904" s="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75" x14ac:dyDescent="0.2">
      <c r="A905" s="34"/>
      <c r="B905" s="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75" x14ac:dyDescent="0.2">
      <c r="A906" s="34"/>
      <c r="B906" s="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75" x14ac:dyDescent="0.2">
      <c r="A907" s="34"/>
      <c r="B907" s="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75" x14ac:dyDescent="0.2">
      <c r="A908" s="34"/>
      <c r="B908" s="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75" x14ac:dyDescent="0.2">
      <c r="A909" s="34"/>
      <c r="B909" s="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75" x14ac:dyDescent="0.2">
      <c r="A910" s="34"/>
      <c r="B910" s="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75" x14ac:dyDescent="0.2">
      <c r="A911" s="34"/>
      <c r="B911" s="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75" x14ac:dyDescent="0.2">
      <c r="A912" s="34"/>
      <c r="B912" s="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75" x14ac:dyDescent="0.2">
      <c r="A913" s="34"/>
      <c r="B913" s="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75" x14ac:dyDescent="0.2">
      <c r="A914" s="34"/>
      <c r="B914" s="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75" x14ac:dyDescent="0.2">
      <c r="A915" s="34"/>
      <c r="B915" s="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75" x14ac:dyDescent="0.2">
      <c r="A916" s="34"/>
      <c r="B916" s="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75" x14ac:dyDescent="0.2">
      <c r="A917" s="34"/>
      <c r="B917" s="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75" x14ac:dyDescent="0.2">
      <c r="A918" s="34"/>
      <c r="B918" s="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75" x14ac:dyDescent="0.2">
      <c r="A919" s="34"/>
      <c r="B919" s="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75" x14ac:dyDescent="0.2">
      <c r="A920" s="34"/>
      <c r="B920" s="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75" x14ac:dyDescent="0.2">
      <c r="A921" s="34"/>
      <c r="B921" s="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75" x14ac:dyDescent="0.2">
      <c r="A922" s="34"/>
      <c r="B922" s="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75" x14ac:dyDescent="0.2">
      <c r="A923" s="34"/>
      <c r="B923" s="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75" x14ac:dyDescent="0.2">
      <c r="A924" s="34"/>
      <c r="B924" s="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75" x14ac:dyDescent="0.2">
      <c r="A925" s="34"/>
      <c r="B925" s="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75" x14ac:dyDescent="0.2">
      <c r="A926" s="34"/>
      <c r="B926" s="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75" x14ac:dyDescent="0.2">
      <c r="A927" s="34"/>
      <c r="B927" s="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75" x14ac:dyDescent="0.2">
      <c r="A928" s="34"/>
      <c r="B928" s="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75" x14ac:dyDescent="0.2">
      <c r="A929" s="34"/>
      <c r="B929" s="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75" x14ac:dyDescent="0.2">
      <c r="A930" s="34"/>
      <c r="B930" s="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75" x14ac:dyDescent="0.2">
      <c r="A931" s="34"/>
      <c r="B931" s="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75" x14ac:dyDescent="0.2">
      <c r="A932" s="34"/>
      <c r="B932" s="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75" x14ac:dyDescent="0.2">
      <c r="A933" s="34"/>
      <c r="B933" s="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75" x14ac:dyDescent="0.2">
      <c r="A934" s="34"/>
      <c r="B934" s="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75" x14ac:dyDescent="0.2">
      <c r="A935" s="34"/>
      <c r="B935" s="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75" x14ac:dyDescent="0.2">
      <c r="A936" s="34"/>
      <c r="B936" s="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75" x14ac:dyDescent="0.2">
      <c r="A937" s="34"/>
      <c r="B937" s="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75" x14ac:dyDescent="0.2">
      <c r="A938" s="34"/>
      <c r="B938" s="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75" x14ac:dyDescent="0.2">
      <c r="A939" s="34"/>
      <c r="B939" s="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75" x14ac:dyDescent="0.2">
      <c r="A940" s="34"/>
      <c r="B940" s="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75" x14ac:dyDescent="0.2">
      <c r="A941" s="34"/>
      <c r="B941" s="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75" x14ac:dyDescent="0.2">
      <c r="A942" s="34"/>
      <c r="B942" s="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75" x14ac:dyDescent="0.2">
      <c r="A943" s="34"/>
      <c r="B943" s="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75" x14ac:dyDescent="0.2">
      <c r="A944" s="34"/>
      <c r="B944" s="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75" x14ac:dyDescent="0.2">
      <c r="A945" s="34"/>
      <c r="B945" s="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75" x14ac:dyDescent="0.2">
      <c r="A946" s="34"/>
      <c r="B946" s="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75" x14ac:dyDescent="0.2">
      <c r="A947" s="34"/>
      <c r="B947" s="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75" x14ac:dyDescent="0.2">
      <c r="A948" s="34"/>
      <c r="B948" s="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75" x14ac:dyDescent="0.2">
      <c r="A949" s="34"/>
      <c r="B949" s="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75" x14ac:dyDescent="0.2">
      <c r="A950" s="34"/>
      <c r="B950" s="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75" x14ac:dyDescent="0.2">
      <c r="A951" s="34"/>
      <c r="B951" s="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75" x14ac:dyDescent="0.2">
      <c r="A952" s="34"/>
      <c r="B952" s="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75" x14ac:dyDescent="0.2">
      <c r="A953" s="34"/>
      <c r="B953" s="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75" x14ac:dyDescent="0.2">
      <c r="A954" s="34"/>
      <c r="B954" s="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75" x14ac:dyDescent="0.2">
      <c r="A955" s="34"/>
      <c r="B955" s="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75" x14ac:dyDescent="0.2">
      <c r="A956" s="34"/>
      <c r="B956" s="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75" x14ac:dyDescent="0.2">
      <c r="A957" s="34"/>
      <c r="B957" s="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75" x14ac:dyDescent="0.2">
      <c r="A958" s="34"/>
      <c r="B958" s="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75" x14ac:dyDescent="0.2">
      <c r="A959" s="34"/>
      <c r="B959" s="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75" x14ac:dyDescent="0.2">
      <c r="A960" s="34"/>
      <c r="B960" s="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75" x14ac:dyDescent="0.2">
      <c r="A961" s="34"/>
      <c r="B961" s="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75" x14ac:dyDescent="0.2">
      <c r="A962" s="34"/>
      <c r="B962" s="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75" x14ac:dyDescent="0.2">
      <c r="A963" s="34"/>
      <c r="B963" s="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75" x14ac:dyDescent="0.2">
      <c r="A964" s="34"/>
      <c r="B964" s="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75" x14ac:dyDescent="0.2">
      <c r="A965" s="34"/>
      <c r="B965" s="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75" x14ac:dyDescent="0.2">
      <c r="A966" s="34"/>
      <c r="B966" s="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75" x14ac:dyDescent="0.2">
      <c r="A967" s="34"/>
      <c r="B967" s="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75" x14ac:dyDescent="0.2">
      <c r="A968" s="34"/>
      <c r="B968" s="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75" x14ac:dyDescent="0.2">
      <c r="A969" s="34"/>
      <c r="B969" s="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75" x14ac:dyDescent="0.2">
      <c r="A970" s="34"/>
      <c r="B970" s="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75" x14ac:dyDescent="0.2">
      <c r="A971" s="34"/>
      <c r="B971" s="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75" x14ac:dyDescent="0.2">
      <c r="A972" s="34"/>
      <c r="B972" s="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75" x14ac:dyDescent="0.2">
      <c r="A973" s="34"/>
      <c r="B973" s="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75" x14ac:dyDescent="0.2">
      <c r="A974" s="34"/>
      <c r="B974" s="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75" x14ac:dyDescent="0.2">
      <c r="A975" s="34"/>
      <c r="B975" s="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75" x14ac:dyDescent="0.2">
      <c r="A976" s="34"/>
      <c r="B976" s="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75" x14ac:dyDescent="0.2">
      <c r="A977" s="34"/>
      <c r="B977" s="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75" x14ac:dyDescent="0.2">
      <c r="A978" s="34"/>
      <c r="B978" s="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75" x14ac:dyDescent="0.2">
      <c r="A979" s="34"/>
      <c r="B979" s="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75" x14ac:dyDescent="0.2">
      <c r="A980" s="34"/>
      <c r="B980" s="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75" x14ac:dyDescent="0.2">
      <c r="A981" s="34"/>
      <c r="B981" s="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</sheetData>
  <mergeCells count="152">
    <mergeCell ref="B4:C4"/>
    <mergeCell ref="D4:E4"/>
    <mergeCell ref="F40:H40"/>
    <mergeCell ref="F41:H41"/>
    <mergeCell ref="F26:H26"/>
    <mergeCell ref="F27:H27"/>
    <mergeCell ref="F28:H28"/>
    <mergeCell ref="F29:H29"/>
    <mergeCell ref="F30:H30"/>
    <mergeCell ref="F31:H31"/>
    <mergeCell ref="B37:C37"/>
    <mergeCell ref="B28:C28"/>
    <mergeCell ref="B27:C27"/>
    <mergeCell ref="B26:C26"/>
    <mergeCell ref="B31:C31"/>
    <mergeCell ref="B30:C30"/>
    <mergeCell ref="B29:C29"/>
    <mergeCell ref="B32:E32"/>
    <mergeCell ref="D34:E34"/>
    <mergeCell ref="D33:E33"/>
    <mergeCell ref="D37:E37"/>
    <mergeCell ref="B40:E40"/>
    <mergeCell ref="B41:C41"/>
    <mergeCell ref="D41:E41"/>
    <mergeCell ref="D1:G1"/>
    <mergeCell ref="F23:H23"/>
    <mergeCell ref="F11:H11"/>
    <mergeCell ref="F19:H19"/>
    <mergeCell ref="F18:H18"/>
    <mergeCell ref="F17:H17"/>
    <mergeCell ref="F16:H16"/>
    <mergeCell ref="F15:H15"/>
    <mergeCell ref="F14:H14"/>
    <mergeCell ref="F13:H13"/>
    <mergeCell ref="F12:H12"/>
    <mergeCell ref="D12:E12"/>
    <mergeCell ref="D13:E13"/>
    <mergeCell ref="D22:E22"/>
    <mergeCell ref="D23:E23"/>
    <mergeCell ref="D20:E20"/>
    <mergeCell ref="D16:E16"/>
    <mergeCell ref="D15:E15"/>
    <mergeCell ref="D17:E17"/>
    <mergeCell ref="B11:E11"/>
    <mergeCell ref="B3:C3"/>
    <mergeCell ref="D3:E3"/>
    <mergeCell ref="B8:C8"/>
    <mergeCell ref="D8:E8"/>
    <mergeCell ref="B69:T69"/>
    <mergeCell ref="B72:T72"/>
    <mergeCell ref="B63:T63"/>
    <mergeCell ref="B67:T67"/>
    <mergeCell ref="B103:T103"/>
    <mergeCell ref="D39:E39"/>
    <mergeCell ref="D14:E14"/>
    <mergeCell ref="D25:E25"/>
    <mergeCell ref="F21:H21"/>
    <mergeCell ref="F22:H22"/>
    <mergeCell ref="D19:E19"/>
    <mergeCell ref="D18:E18"/>
    <mergeCell ref="F32:H32"/>
    <mergeCell ref="F33:H33"/>
    <mergeCell ref="F34:H34"/>
    <mergeCell ref="F35:H35"/>
    <mergeCell ref="F36:H36"/>
    <mergeCell ref="F37:H37"/>
    <mergeCell ref="B38:E38"/>
    <mergeCell ref="B39:C39"/>
    <mergeCell ref="F24:H24"/>
    <mergeCell ref="F25:H25"/>
    <mergeCell ref="F38:H38"/>
    <mergeCell ref="F39:H39"/>
    <mergeCell ref="B44:T44"/>
    <mergeCell ref="B46:T46"/>
    <mergeCell ref="B48:T48"/>
    <mergeCell ref="B50:T50"/>
    <mergeCell ref="B78:T78"/>
    <mergeCell ref="B106:T106"/>
    <mergeCell ref="B189:T189"/>
    <mergeCell ref="B156:T156"/>
    <mergeCell ref="B158:T158"/>
    <mergeCell ref="B162:T162"/>
    <mergeCell ref="B164:T164"/>
    <mergeCell ref="B168:T168"/>
    <mergeCell ref="B172:T172"/>
    <mergeCell ref="B174:T174"/>
    <mergeCell ref="B176:T176"/>
    <mergeCell ref="B178:T178"/>
    <mergeCell ref="B108:T108"/>
    <mergeCell ref="B80:T80"/>
    <mergeCell ref="B82:T82"/>
    <mergeCell ref="B84:T84"/>
    <mergeCell ref="B110:T110"/>
    <mergeCell ref="B56:T56"/>
    <mergeCell ref="B180:T180"/>
    <mergeCell ref="B184:T184"/>
    <mergeCell ref="B75:T75"/>
    <mergeCell ref="B136:T136"/>
    <mergeCell ref="B138:T138"/>
    <mergeCell ref="B140:T140"/>
    <mergeCell ref="B148:T148"/>
    <mergeCell ref="B154:T154"/>
    <mergeCell ref="B115:T115"/>
    <mergeCell ref="B118:T118"/>
    <mergeCell ref="B124:T124"/>
    <mergeCell ref="B129:T129"/>
    <mergeCell ref="B131:T131"/>
    <mergeCell ref="B127:T127"/>
    <mergeCell ref="B134:T134"/>
    <mergeCell ref="B144:T144"/>
    <mergeCell ref="B146:T146"/>
    <mergeCell ref="B152:T152"/>
    <mergeCell ref="B113:T113"/>
    <mergeCell ref="B95:T95"/>
    <mergeCell ref="B120:T120"/>
    <mergeCell ref="B122:T122"/>
    <mergeCell ref="B65:T65"/>
    <mergeCell ref="B19:C19"/>
    <mergeCell ref="B18:C18"/>
    <mergeCell ref="B20:C20"/>
    <mergeCell ref="B17:C17"/>
    <mergeCell ref="B21:E21"/>
    <mergeCell ref="B52:T52"/>
    <mergeCell ref="B24:C24"/>
    <mergeCell ref="B33:C33"/>
    <mergeCell ref="N43:O43"/>
    <mergeCell ref="E43:F43"/>
    <mergeCell ref="H43:I43"/>
    <mergeCell ref="K43:L43"/>
    <mergeCell ref="D31:E31"/>
    <mergeCell ref="D30:E30"/>
    <mergeCell ref="D29:E29"/>
    <mergeCell ref="D28:E28"/>
    <mergeCell ref="D27:E27"/>
    <mergeCell ref="D26:E26"/>
    <mergeCell ref="B34:C34"/>
    <mergeCell ref="B36:C36"/>
    <mergeCell ref="B35:C35"/>
    <mergeCell ref="D36:E36"/>
    <mergeCell ref="D35:E35"/>
    <mergeCell ref="B5:C5"/>
    <mergeCell ref="D5:E5"/>
    <mergeCell ref="D24:E24"/>
    <mergeCell ref="B9:C9"/>
    <mergeCell ref="D9:E9"/>
    <mergeCell ref="B7:E7"/>
    <mergeCell ref="B12:C12"/>
    <mergeCell ref="B13:C13"/>
    <mergeCell ref="B22:C22"/>
    <mergeCell ref="B23:C23"/>
    <mergeCell ref="B15:C15"/>
    <mergeCell ref="B16:C16"/>
  </mergeCells>
  <phoneticPr fontId="3" type="noConversion"/>
  <conditionalFormatting sqref="D36">
    <cfRule type="expression" dxfId="10" priority="1">
      <formula>IF(ISNUMBER($D$36),$D$36&gt;=$D$37,FALSE)</formula>
    </cfRule>
    <cfRule type="expression" dxfId="9" priority="2">
      <formula>IF(ISNUMBER($D$36),$D$36&lt;=$D$35,FALSE)</formula>
    </cfRule>
  </conditionalFormatting>
  <conditionalFormatting sqref="D12:E13">
    <cfRule type="expression" dxfId="8" priority="6">
      <formula>$D$13&lt;=$D$12</formula>
    </cfRule>
  </conditionalFormatting>
  <conditionalFormatting sqref="D17:E17">
    <cfRule type="expression" dxfId="7" priority="8">
      <formula>IF(ISNUMBER($D$17),$D$18&gt;=$D$17,FALSE)</formula>
    </cfRule>
    <cfRule type="expression" dxfId="6" priority="9">
      <formula>IF(ISNUMBER($D$17),$D$17&gt;=$D$16,FALSE)</formula>
    </cfRule>
  </conditionalFormatting>
  <conditionalFormatting sqref="D23:E24">
    <cfRule type="expression" dxfId="5" priority="7">
      <formula>$D$24&lt;=$D$23</formula>
    </cfRule>
  </conditionalFormatting>
  <conditionalFormatting sqref="D28:E28">
    <cfRule type="expression" dxfId="4" priority="10">
      <formula>IF(ISNUMBER($D$28),$D$27&gt;=$D$28,FALSE)</formula>
    </cfRule>
    <cfRule type="expression" dxfId="3" priority="11">
      <formula>IF(ISNUMBER($D$28),$D$28&gt;=$D$29,FALSE)</formula>
    </cfRule>
  </conditionalFormatting>
  <conditionalFormatting sqref="S45:S193">
    <cfRule type="containsText" dxfId="2" priority="3" stopIfTrue="1" operator="containsText" text="Not applicable">
      <formula>NOT(ISERROR(SEARCH("Not applicable",S45)))</formula>
    </cfRule>
    <cfRule type="containsText" dxfId="1" priority="4" stopIfTrue="1" operator="containsText" text="Failed">
      <formula>NOT(ISERROR(SEARCH("Failed",S45)))</formula>
    </cfRule>
    <cfRule type="containsText" dxfId="0" priority="5" stopIfTrue="1" operator="containsText" text="Passed">
      <formula>NOT(ISERROR(SEARCH("Passed",S45)))</formula>
    </cfRule>
  </conditionalFormatting>
  <dataValidations count="4">
    <dataValidation type="list" allowBlank="1" showInputMessage="1" showErrorMessage="1" promptTitle="Test verdict" prompt="Pick the verdict from the list. Don't type it manually." sqref="S53 S45 S47 S49 S51" xr:uid="{00DDFD5A-1502-4D21-B2ED-8642E2A42E97}">
      <formula1>"Passed,Failed,Not applicable"</formula1>
    </dataValidation>
    <dataValidation type="list" allowBlank="1" showErrorMessage="1" promptTitle="Test verdict" prompt="Pick the verdict from the list. Don't type it manually." sqref="S54:S55 S190:S193 S70:S71 S73:S74 S76:S77 S79 S81 S83 S68 S111:S112 S114 S116:S117 S96:S102 S109 S130 S128 S137 S139 S135 S147 S155 S157 S159:S161 S163 S165:S167 S153 S177 S179 S175 S66 S64 S104:S105 S107 S125:S126 S132:S133 S141:S143 S145 S149:S151 S169:S171 S173 S181:S183 S185:S188 S57:S62 S85:S94 S119:S123" xr:uid="{43F3A6EC-45FA-4F73-B5B6-D2B9AFF00E72}">
      <formula1>"Passed,Failed,Not applicable"</formula1>
    </dataValidation>
    <dataValidation type="list" allowBlank="1" showInputMessage="1" showErrorMessage="1" sqref="D5:E5" xr:uid="{491EE694-12EF-47EB-A48E-F56E3C1C42F1}">
      <formula1>"Yes,No"</formula1>
    </dataValidation>
    <dataValidation type="list" allowBlank="1" showInputMessage="1" showErrorMessage="1" sqref="D4" xr:uid="{2541935F-B928-4048-BEA7-8349521AAA56}">
      <formula1>"Energy Guard (EG),Controllable System (CS),EG &amp; CS"</formula1>
    </dataValidation>
  </dataValidations>
  <printOptions horizontalCentered="1"/>
  <pageMargins left="0.25" right="0.25" top="0.75" bottom="0.75" header="0.3" footer="0.3"/>
  <pageSetup scale="31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2468-F4B2-4870-BA8C-6DD3DAD8D20F}">
  <sheetPr>
    <tabColor rgb="FFF7C7AC"/>
  </sheetPr>
  <dimension ref="B1:R252"/>
  <sheetViews>
    <sheetView zoomScaleNormal="100" workbookViewId="0"/>
  </sheetViews>
  <sheetFormatPr baseColWidth="10" defaultColWidth="11.42578125" defaultRowHeight="12.75" x14ac:dyDescent="0.2"/>
  <cols>
    <col min="1" max="1" width="3" style="27" customWidth="1"/>
    <col min="2" max="2" width="8.7109375" style="27" customWidth="1"/>
    <col min="3" max="3" width="20.7109375" style="27" customWidth="1"/>
    <col min="4" max="4" width="40.7109375" style="27" customWidth="1"/>
    <col min="5" max="5" width="71.7109375" style="27" customWidth="1"/>
    <col min="6" max="6" width="18.7109375" style="27" customWidth="1"/>
    <col min="7" max="7" width="37.7109375" style="27" customWidth="1"/>
    <col min="8" max="8" width="91.7109375" style="27" customWidth="1"/>
    <col min="9" max="9" width="15.140625" style="27" bestFit="1" customWidth="1"/>
    <col min="10" max="10" width="17.140625" style="27" bestFit="1" customWidth="1"/>
    <col min="11" max="16384" width="11.42578125" style="27"/>
  </cols>
  <sheetData>
    <row r="1" spans="2:18" s="3" customFormat="1" ht="45" customHeight="1" x14ac:dyDescent="0.2">
      <c r="C1" s="2"/>
      <c r="D1" s="105" t="s">
        <v>241</v>
      </c>
      <c r="E1" s="105"/>
      <c r="F1" s="2"/>
      <c r="G1" s="2"/>
      <c r="H1" s="15"/>
      <c r="I1" s="15"/>
      <c r="J1" s="9"/>
      <c r="K1" s="9"/>
      <c r="L1" s="2"/>
      <c r="M1" s="2"/>
      <c r="N1" s="2"/>
      <c r="O1" s="2"/>
      <c r="P1" s="2"/>
      <c r="Q1" s="2"/>
      <c r="R1" s="2"/>
    </row>
    <row r="2" spans="2:18" s="3" customFormat="1" ht="19.5" customHeight="1" x14ac:dyDescent="0.2">
      <c r="C2" s="2"/>
      <c r="D2" s="15"/>
      <c r="E2" s="15"/>
      <c r="F2" s="2"/>
      <c r="G2" s="2"/>
      <c r="H2" s="15"/>
      <c r="I2" s="15"/>
      <c r="J2" s="9"/>
      <c r="K2" s="9"/>
      <c r="L2" s="2"/>
      <c r="M2" s="2"/>
      <c r="N2" s="2"/>
      <c r="O2" s="2"/>
      <c r="P2" s="2"/>
      <c r="Q2" s="2"/>
      <c r="R2" s="2"/>
    </row>
    <row r="3" spans="2:18" s="28" customFormat="1" ht="19.5" customHeight="1" x14ac:dyDescent="0.2">
      <c r="B3" s="106" t="s">
        <v>94</v>
      </c>
      <c r="C3" s="107"/>
      <c r="D3" s="107"/>
      <c r="E3" s="108"/>
      <c r="F3" s="29"/>
    </row>
    <row r="4" spans="2:18" s="28" customFormat="1" ht="39" customHeight="1" x14ac:dyDescent="0.2">
      <c r="B4" s="4" t="s">
        <v>95</v>
      </c>
      <c r="C4" s="6" t="s">
        <v>115</v>
      </c>
      <c r="D4" s="11" t="s">
        <v>96</v>
      </c>
      <c r="E4" s="11" t="s">
        <v>97</v>
      </c>
      <c r="F4" s="11" t="s">
        <v>98</v>
      </c>
      <c r="G4" s="11" t="s">
        <v>99</v>
      </c>
      <c r="H4" s="6" t="s">
        <v>108</v>
      </c>
      <c r="I4" s="117"/>
      <c r="J4" s="117"/>
    </row>
    <row r="5" spans="2:18" s="28" customFormat="1" ht="19.5" customHeight="1" x14ac:dyDescent="0.2">
      <c r="B5" s="59" t="s">
        <v>77</v>
      </c>
      <c r="C5" s="42"/>
      <c r="D5" s="59" t="s">
        <v>100</v>
      </c>
      <c r="E5" s="51" t="s">
        <v>168</v>
      </c>
      <c r="F5" s="52">
        <v>1</v>
      </c>
      <c r="G5" s="51" t="s">
        <v>58</v>
      </c>
      <c r="H5" s="44"/>
    </row>
    <row r="6" spans="2:18" s="28" customFormat="1" ht="19.5" customHeight="1" x14ac:dyDescent="0.2">
      <c r="B6" s="59" t="s">
        <v>78</v>
      </c>
      <c r="C6" s="42"/>
      <c r="D6" s="59" t="s">
        <v>100</v>
      </c>
      <c r="E6" s="51" t="s">
        <v>169</v>
      </c>
      <c r="F6" s="52">
        <v>2</v>
      </c>
      <c r="G6" s="51" t="s">
        <v>76</v>
      </c>
      <c r="H6" s="44"/>
    </row>
    <row r="7" spans="2:18" s="28" customFormat="1" ht="19.5" customHeight="1" x14ac:dyDescent="0.2">
      <c r="B7" s="59" t="s">
        <v>79</v>
      </c>
      <c r="C7" s="42"/>
      <c r="D7" s="59" t="s">
        <v>100</v>
      </c>
      <c r="E7" s="51" t="s">
        <v>170</v>
      </c>
      <c r="F7" s="52">
        <v>4</v>
      </c>
      <c r="G7" s="60" t="s">
        <v>107</v>
      </c>
      <c r="H7" s="41"/>
    </row>
    <row r="8" spans="2:18" s="28" customFormat="1" ht="19.5" customHeight="1" x14ac:dyDescent="0.2">
      <c r="B8" s="59" t="s">
        <v>80</v>
      </c>
      <c r="C8" s="42"/>
      <c r="D8" s="59" t="s">
        <v>100</v>
      </c>
      <c r="E8" s="51" t="s">
        <v>171</v>
      </c>
      <c r="F8" s="52">
        <v>4</v>
      </c>
      <c r="G8" s="60" t="s">
        <v>107</v>
      </c>
      <c r="H8" s="41"/>
    </row>
    <row r="9" spans="2:18" s="28" customFormat="1" ht="19.5" customHeight="1" x14ac:dyDescent="0.2">
      <c r="B9" s="59" t="s">
        <v>81</v>
      </c>
      <c r="C9" s="42"/>
      <c r="D9" s="59" t="s">
        <v>100</v>
      </c>
      <c r="E9" s="51" t="s">
        <v>172</v>
      </c>
      <c r="F9" s="52">
        <v>1</v>
      </c>
      <c r="G9" s="51" t="s">
        <v>14</v>
      </c>
      <c r="H9" s="41"/>
    </row>
    <row r="10" spans="2:18" s="28" customFormat="1" ht="27" x14ac:dyDescent="0.2">
      <c r="B10" s="59" t="s">
        <v>82</v>
      </c>
      <c r="C10" s="42"/>
      <c r="D10" s="59" t="s">
        <v>100</v>
      </c>
      <c r="E10" s="51" t="s">
        <v>101</v>
      </c>
      <c r="F10" s="52" t="s">
        <v>102</v>
      </c>
      <c r="G10" s="51" t="s">
        <v>105</v>
      </c>
      <c r="H10" s="41"/>
    </row>
    <row r="11" spans="2:18" s="28" customFormat="1" ht="19.5" customHeight="1" x14ac:dyDescent="0.2">
      <c r="B11" s="109"/>
      <c r="C11" s="120"/>
      <c r="D11" s="120"/>
      <c r="E11" s="120"/>
      <c r="F11" s="120"/>
      <c r="G11" s="120"/>
      <c r="H11" s="110"/>
    </row>
    <row r="12" spans="2:18" s="28" customFormat="1" ht="19.5" customHeight="1" x14ac:dyDescent="0.2">
      <c r="B12" s="59" t="s">
        <v>83</v>
      </c>
      <c r="C12" s="42"/>
      <c r="D12" s="59" t="s">
        <v>165</v>
      </c>
      <c r="E12" s="51" t="s">
        <v>173</v>
      </c>
      <c r="F12" s="52">
        <v>4</v>
      </c>
      <c r="G12" s="51" t="s">
        <v>208</v>
      </c>
      <c r="H12" s="41" t="s">
        <v>111</v>
      </c>
    </row>
    <row r="13" spans="2:18" s="28" customFormat="1" ht="19.5" customHeight="1" x14ac:dyDescent="0.2">
      <c r="B13" s="59" t="s">
        <v>84</v>
      </c>
      <c r="C13" s="42"/>
      <c r="D13" s="59" t="s">
        <v>165</v>
      </c>
      <c r="E13" s="51" t="s">
        <v>174</v>
      </c>
      <c r="F13" s="52">
        <v>4</v>
      </c>
      <c r="G13" s="51" t="s">
        <v>208</v>
      </c>
      <c r="H13" s="41" t="s">
        <v>112</v>
      </c>
    </row>
    <row r="14" spans="2:18" s="28" customFormat="1" ht="19.5" customHeight="1" x14ac:dyDescent="0.2">
      <c r="B14" s="59" t="s">
        <v>85</v>
      </c>
      <c r="C14" s="42"/>
      <c r="D14" s="59" t="s">
        <v>165</v>
      </c>
      <c r="E14" s="51" t="s">
        <v>175</v>
      </c>
      <c r="F14" s="52">
        <v>1</v>
      </c>
      <c r="G14" s="51" t="s">
        <v>44</v>
      </c>
      <c r="H14" s="41"/>
    </row>
    <row r="15" spans="2:18" s="28" customFormat="1" ht="19.5" customHeight="1" x14ac:dyDescent="0.2">
      <c r="B15" s="109"/>
      <c r="C15" s="120"/>
      <c r="D15" s="120"/>
      <c r="E15" s="120"/>
      <c r="F15" s="120"/>
      <c r="G15" s="120"/>
      <c r="H15" s="110"/>
    </row>
    <row r="16" spans="2:18" s="28" customFormat="1" ht="19.5" customHeight="1" x14ac:dyDescent="0.2">
      <c r="B16" s="59" t="s">
        <v>86</v>
      </c>
      <c r="C16" s="42"/>
      <c r="D16" s="59" t="s">
        <v>166</v>
      </c>
      <c r="E16" s="51" t="s">
        <v>176</v>
      </c>
      <c r="F16" s="52">
        <v>4</v>
      </c>
      <c r="G16" s="51" t="s">
        <v>209</v>
      </c>
      <c r="H16" s="41" t="s">
        <v>113</v>
      </c>
    </row>
    <row r="17" spans="2:10" s="28" customFormat="1" ht="19.5" customHeight="1" x14ac:dyDescent="0.2">
      <c r="B17" s="59" t="s">
        <v>87</v>
      </c>
      <c r="C17" s="42"/>
      <c r="D17" s="59" t="s">
        <v>166</v>
      </c>
      <c r="E17" s="51" t="s">
        <v>177</v>
      </c>
      <c r="F17" s="52">
        <v>4</v>
      </c>
      <c r="G17" s="51" t="s">
        <v>209</v>
      </c>
      <c r="H17" s="41" t="s">
        <v>114</v>
      </c>
    </row>
    <row r="18" spans="2:10" s="28" customFormat="1" ht="19.5" customHeight="1" x14ac:dyDescent="0.2">
      <c r="B18" s="59" t="s">
        <v>88</v>
      </c>
      <c r="C18" s="42"/>
      <c r="D18" s="59" t="s">
        <v>166</v>
      </c>
      <c r="E18" s="51" t="s">
        <v>175</v>
      </c>
      <c r="F18" s="52">
        <v>1</v>
      </c>
      <c r="G18" s="51" t="s">
        <v>45</v>
      </c>
      <c r="H18" s="41"/>
    </row>
    <row r="19" spans="2:10" s="28" customFormat="1" ht="19.5" customHeight="1" x14ac:dyDescent="0.2">
      <c r="B19" s="109"/>
      <c r="C19" s="120"/>
      <c r="D19" s="120"/>
      <c r="E19" s="120"/>
      <c r="F19" s="120"/>
      <c r="G19" s="120"/>
      <c r="H19" s="110"/>
    </row>
    <row r="20" spans="2:10" s="28" customFormat="1" ht="19.5" customHeight="1" x14ac:dyDescent="0.2">
      <c r="B20" s="59" t="s">
        <v>89</v>
      </c>
      <c r="C20" s="42"/>
      <c r="D20" s="59" t="s">
        <v>167</v>
      </c>
      <c r="E20" s="51" t="s">
        <v>178</v>
      </c>
      <c r="F20" s="52">
        <v>1</v>
      </c>
      <c r="G20" s="51" t="s">
        <v>22</v>
      </c>
      <c r="H20" s="41"/>
    </row>
    <row r="21" spans="2:10" s="28" customFormat="1" ht="162" x14ac:dyDescent="0.2">
      <c r="B21" s="59" t="s">
        <v>90</v>
      </c>
      <c r="C21" s="42"/>
      <c r="D21" s="59" t="s">
        <v>167</v>
      </c>
      <c r="E21" s="51" t="s">
        <v>103</v>
      </c>
      <c r="F21" s="52" t="s">
        <v>104</v>
      </c>
      <c r="G21" s="51" t="s">
        <v>106</v>
      </c>
      <c r="H21" s="43"/>
    </row>
    <row r="22" spans="2:10" s="28" customFormat="1" ht="19.5" customHeight="1" x14ac:dyDescent="0.2">
      <c r="B22" s="59" t="s">
        <v>237</v>
      </c>
      <c r="C22" s="42"/>
      <c r="D22" s="59" t="s">
        <v>167</v>
      </c>
      <c r="E22" s="51" t="s">
        <v>238</v>
      </c>
      <c r="F22" s="52" t="s">
        <v>107</v>
      </c>
      <c r="G22" s="51" t="s">
        <v>23</v>
      </c>
      <c r="H22" s="41"/>
    </row>
    <row r="23" spans="2:10" s="28" customFormat="1" ht="19.5" customHeight="1" x14ac:dyDescent="0.2">
      <c r="B23" s="109"/>
      <c r="C23" s="120"/>
      <c r="D23" s="120"/>
      <c r="E23" s="120"/>
      <c r="F23" s="120"/>
      <c r="G23" s="120"/>
      <c r="H23" s="110"/>
    </row>
    <row r="24" spans="2:10" s="28" customFormat="1" ht="19.5" customHeight="1" x14ac:dyDescent="0.2">
      <c r="B24" s="59" t="s">
        <v>194</v>
      </c>
      <c r="C24" s="42"/>
      <c r="D24" s="59" t="s">
        <v>100</v>
      </c>
      <c r="E24" s="51" t="s">
        <v>195</v>
      </c>
      <c r="F24" s="72" t="s">
        <v>107</v>
      </c>
      <c r="G24" s="51" t="s">
        <v>57</v>
      </c>
      <c r="H24" s="43"/>
    </row>
    <row r="25" spans="2:10" s="28" customFormat="1" ht="19.5" customHeight="1" x14ac:dyDescent="0.2">
      <c r="B25" s="59" t="s">
        <v>196</v>
      </c>
      <c r="C25" s="42"/>
      <c r="D25" s="59" t="s">
        <v>167</v>
      </c>
      <c r="E25" s="51" t="s">
        <v>195</v>
      </c>
      <c r="F25" s="72" t="s">
        <v>107</v>
      </c>
      <c r="G25" s="51" t="s">
        <v>187</v>
      </c>
      <c r="H25" s="43"/>
    </row>
    <row r="26" spans="2:10" s="28" customFormat="1" ht="19.5" customHeight="1" x14ac:dyDescent="0.2">
      <c r="B26" s="39"/>
      <c r="C26" s="39"/>
      <c r="D26" s="39"/>
      <c r="E26" s="40"/>
      <c r="F26" s="16"/>
      <c r="G26" s="40"/>
      <c r="H26" s="16"/>
    </row>
    <row r="27" spans="2:10" s="28" customFormat="1" ht="19.5" customHeight="1" x14ac:dyDescent="0.2">
      <c r="B27" s="106" t="s">
        <v>91</v>
      </c>
      <c r="C27" s="107"/>
      <c r="D27" s="107"/>
      <c r="E27" s="108"/>
      <c r="F27" s="16"/>
      <c r="G27" s="40"/>
      <c r="H27" s="16"/>
    </row>
    <row r="28" spans="2:10" s="28" customFormat="1" ht="39" customHeight="1" x14ac:dyDescent="0.2">
      <c r="B28" s="4" t="s">
        <v>95</v>
      </c>
      <c r="C28" s="6" t="s">
        <v>129</v>
      </c>
      <c r="D28" s="11" t="s">
        <v>96</v>
      </c>
      <c r="E28" s="11" t="s">
        <v>97</v>
      </c>
      <c r="F28" s="11" t="s">
        <v>98</v>
      </c>
      <c r="G28" s="11" t="s">
        <v>99</v>
      </c>
      <c r="H28" s="6" t="s">
        <v>108</v>
      </c>
      <c r="I28" s="117"/>
      <c r="J28" s="117"/>
    </row>
    <row r="29" spans="2:10" s="28" customFormat="1" ht="19.5" customHeight="1" x14ac:dyDescent="0.2">
      <c r="B29" s="59" t="s">
        <v>92</v>
      </c>
      <c r="C29" s="42"/>
      <c r="D29" s="59" t="s">
        <v>165</v>
      </c>
      <c r="E29" s="51" t="s">
        <v>179</v>
      </c>
      <c r="F29" s="52">
        <v>4</v>
      </c>
      <c r="G29" s="51" t="s">
        <v>64</v>
      </c>
      <c r="H29" s="41" t="s">
        <v>109</v>
      </c>
    </row>
    <row r="30" spans="2:10" s="28" customFormat="1" ht="19.5" customHeight="1" x14ac:dyDescent="0.2">
      <c r="B30" s="109"/>
      <c r="C30" s="120"/>
      <c r="D30" s="120"/>
      <c r="E30" s="120"/>
      <c r="F30" s="120"/>
      <c r="G30" s="120"/>
      <c r="H30" s="110"/>
    </row>
    <row r="31" spans="2:10" s="28" customFormat="1" ht="19.5" customHeight="1" x14ac:dyDescent="0.2">
      <c r="B31" s="59" t="s">
        <v>93</v>
      </c>
      <c r="C31" s="42"/>
      <c r="D31" s="59" t="s">
        <v>166</v>
      </c>
      <c r="E31" s="51" t="s">
        <v>180</v>
      </c>
      <c r="F31" s="52">
        <v>4</v>
      </c>
      <c r="G31" s="60" t="s">
        <v>64</v>
      </c>
      <c r="H31" s="41" t="s">
        <v>110</v>
      </c>
    </row>
    <row r="32" spans="2:10" s="28" customFormat="1" ht="19.5" customHeight="1" x14ac:dyDescent="0.2">
      <c r="B32" s="39"/>
      <c r="C32" s="39"/>
      <c r="D32" s="39"/>
      <c r="E32" s="40"/>
      <c r="F32" s="16"/>
      <c r="G32" s="40"/>
      <c r="H32" s="16"/>
    </row>
    <row r="33" spans="2:8" s="28" customFormat="1" ht="19.5" customHeight="1" x14ac:dyDescent="0.2">
      <c r="B33" s="106" t="s">
        <v>116</v>
      </c>
      <c r="C33" s="107"/>
      <c r="D33" s="107"/>
      <c r="E33" s="108"/>
      <c r="F33" s="16"/>
      <c r="G33" s="40"/>
      <c r="H33" s="16"/>
    </row>
    <row r="34" spans="2:8" s="28" customFormat="1" ht="19.5" customHeight="1" x14ac:dyDescent="0.2">
      <c r="B34" s="109" t="s">
        <v>119</v>
      </c>
      <c r="C34" s="110"/>
      <c r="D34" s="111" t="s">
        <v>117</v>
      </c>
      <c r="E34" s="112"/>
    </row>
    <row r="35" spans="2:8" s="28" customFormat="1" ht="19.5" customHeight="1" x14ac:dyDescent="0.2">
      <c r="B35" s="109" t="s">
        <v>120</v>
      </c>
      <c r="C35" s="110"/>
      <c r="D35" s="111" t="s">
        <v>122</v>
      </c>
      <c r="E35" s="112"/>
    </row>
    <row r="36" spans="2:8" s="28" customFormat="1" ht="19.5" customHeight="1" x14ac:dyDescent="0.2">
      <c r="B36" s="109" t="s">
        <v>121</v>
      </c>
      <c r="C36" s="110"/>
      <c r="D36" s="111" t="s">
        <v>118</v>
      </c>
      <c r="E36" s="112"/>
    </row>
    <row r="37" spans="2:8" s="28" customFormat="1" x14ac:dyDescent="0.2"/>
    <row r="38" spans="2:8" s="28" customFormat="1" x14ac:dyDescent="0.2"/>
    <row r="39" spans="2:8" s="28" customFormat="1" x14ac:dyDescent="0.2"/>
    <row r="40" spans="2:8" s="28" customFormat="1" x14ac:dyDescent="0.2"/>
    <row r="41" spans="2:8" s="28" customFormat="1" x14ac:dyDescent="0.2"/>
    <row r="42" spans="2:8" s="28" customFormat="1" x14ac:dyDescent="0.2"/>
    <row r="43" spans="2:8" s="28" customFormat="1" x14ac:dyDescent="0.2"/>
    <row r="44" spans="2:8" s="28" customFormat="1" x14ac:dyDescent="0.2"/>
    <row r="45" spans="2:8" s="28" customFormat="1" x14ac:dyDescent="0.2"/>
    <row r="46" spans="2:8" s="28" customFormat="1" x14ac:dyDescent="0.2"/>
    <row r="47" spans="2:8" s="28" customFormat="1" x14ac:dyDescent="0.2"/>
    <row r="48" spans="2:8" s="28" customFormat="1" x14ac:dyDescent="0.2"/>
    <row r="49" s="28" customFormat="1" x14ac:dyDescent="0.2"/>
    <row r="50" s="28" customFormat="1" x14ac:dyDescent="0.2"/>
    <row r="51" s="28" customFormat="1" x14ac:dyDescent="0.2"/>
    <row r="52" s="28" customFormat="1" x14ac:dyDescent="0.2"/>
    <row r="53" s="28" customFormat="1" x14ac:dyDescent="0.2"/>
    <row r="54" s="28" customFormat="1" x14ac:dyDescent="0.2"/>
    <row r="55" s="28" customFormat="1" x14ac:dyDescent="0.2"/>
    <row r="56" s="28" customFormat="1" x14ac:dyDescent="0.2"/>
    <row r="57" s="28" customFormat="1" x14ac:dyDescent="0.2"/>
    <row r="58" s="28" customFormat="1" x14ac:dyDescent="0.2"/>
    <row r="59" s="28" customFormat="1" x14ac:dyDescent="0.2"/>
    <row r="60" s="28" customFormat="1" x14ac:dyDescent="0.2"/>
    <row r="61" s="28" customFormat="1" x14ac:dyDescent="0.2"/>
    <row r="62" s="28" customFormat="1" x14ac:dyDescent="0.2"/>
    <row r="63" s="28" customFormat="1" x14ac:dyDescent="0.2"/>
    <row r="64" s="28" customFormat="1" x14ac:dyDescent="0.2"/>
    <row r="65" s="28" customFormat="1" x14ac:dyDescent="0.2"/>
    <row r="66" s="28" customFormat="1" x14ac:dyDescent="0.2"/>
    <row r="67" s="28" customFormat="1" x14ac:dyDescent="0.2"/>
    <row r="68" s="28" customFormat="1" x14ac:dyDescent="0.2"/>
    <row r="69" s="28" customFormat="1" x14ac:dyDescent="0.2"/>
    <row r="70" s="28" customFormat="1" x14ac:dyDescent="0.2"/>
    <row r="71" s="28" customFormat="1" x14ac:dyDescent="0.2"/>
    <row r="72" s="28" customFormat="1" x14ac:dyDescent="0.2"/>
    <row r="73" s="28" customFormat="1" x14ac:dyDescent="0.2"/>
    <row r="74" s="28" customFormat="1" x14ac:dyDescent="0.2"/>
    <row r="75" s="28" customFormat="1" x14ac:dyDescent="0.2"/>
    <row r="76" s="28" customFormat="1" x14ac:dyDescent="0.2"/>
    <row r="77" s="28" customFormat="1" x14ac:dyDescent="0.2"/>
    <row r="78" s="28" customFormat="1" x14ac:dyDescent="0.2"/>
    <row r="79" s="28" customFormat="1" x14ac:dyDescent="0.2"/>
    <row r="80" s="28" customFormat="1" x14ac:dyDescent="0.2"/>
    <row r="81" s="28" customFormat="1" x14ac:dyDescent="0.2"/>
    <row r="82" s="28" customFormat="1" x14ac:dyDescent="0.2"/>
    <row r="83" s="28" customFormat="1" x14ac:dyDescent="0.2"/>
    <row r="84" s="28" customFormat="1" x14ac:dyDescent="0.2"/>
    <row r="85" s="28" customFormat="1" x14ac:dyDescent="0.2"/>
    <row r="86" s="28" customFormat="1" x14ac:dyDescent="0.2"/>
    <row r="87" s="28" customFormat="1" x14ac:dyDescent="0.2"/>
    <row r="88" s="28" customFormat="1" x14ac:dyDescent="0.2"/>
    <row r="89" s="28" customFormat="1" x14ac:dyDescent="0.2"/>
    <row r="90" s="28" customFormat="1" x14ac:dyDescent="0.2"/>
    <row r="91" s="28" customFormat="1" x14ac:dyDescent="0.2"/>
    <row r="92" s="28" customFormat="1" x14ac:dyDescent="0.2"/>
    <row r="93" s="28" customFormat="1" x14ac:dyDescent="0.2"/>
    <row r="94" s="28" customFormat="1" x14ac:dyDescent="0.2"/>
    <row r="95" s="28" customFormat="1" x14ac:dyDescent="0.2"/>
    <row r="96" s="28" customFormat="1" x14ac:dyDescent="0.2"/>
    <row r="97" s="28" customFormat="1" x14ac:dyDescent="0.2"/>
    <row r="98" s="28" customFormat="1" x14ac:dyDescent="0.2"/>
    <row r="99" s="28" customFormat="1" x14ac:dyDescent="0.2"/>
    <row r="100" s="28" customFormat="1" x14ac:dyDescent="0.2"/>
    <row r="101" s="28" customFormat="1" x14ac:dyDescent="0.2"/>
    <row r="102" s="28" customFormat="1" x14ac:dyDescent="0.2"/>
    <row r="103" s="28" customFormat="1" x14ac:dyDescent="0.2"/>
    <row r="104" s="28" customFormat="1" x14ac:dyDescent="0.2"/>
    <row r="105" s="28" customFormat="1" x14ac:dyDescent="0.2"/>
    <row r="106" s="28" customFormat="1" x14ac:dyDescent="0.2"/>
    <row r="107" s="28" customFormat="1" x14ac:dyDescent="0.2"/>
    <row r="108" s="28" customFormat="1" x14ac:dyDescent="0.2"/>
    <row r="109" s="28" customFormat="1" x14ac:dyDescent="0.2"/>
    <row r="110" s="28" customFormat="1" x14ac:dyDescent="0.2"/>
    <row r="111" s="28" customFormat="1" x14ac:dyDescent="0.2"/>
    <row r="112" s="28" customFormat="1" x14ac:dyDescent="0.2"/>
    <row r="113" s="28" customFormat="1" x14ac:dyDescent="0.2"/>
    <row r="114" s="28" customFormat="1" x14ac:dyDescent="0.2"/>
    <row r="115" s="28" customFormat="1" x14ac:dyDescent="0.2"/>
    <row r="116" s="28" customFormat="1" x14ac:dyDescent="0.2"/>
    <row r="117" s="28" customFormat="1" x14ac:dyDescent="0.2"/>
    <row r="118" s="28" customFormat="1" x14ac:dyDescent="0.2"/>
    <row r="119" s="28" customFormat="1" x14ac:dyDescent="0.2"/>
    <row r="120" s="28" customFormat="1" x14ac:dyDescent="0.2"/>
    <row r="121" s="28" customFormat="1" x14ac:dyDescent="0.2"/>
    <row r="122" s="28" customFormat="1" x14ac:dyDescent="0.2"/>
    <row r="123" s="28" customFormat="1" x14ac:dyDescent="0.2"/>
    <row r="124" s="28" customFormat="1" x14ac:dyDescent="0.2"/>
    <row r="125" s="28" customFormat="1" x14ac:dyDescent="0.2"/>
    <row r="126" s="28" customFormat="1" x14ac:dyDescent="0.2"/>
    <row r="127" s="28" customFormat="1" x14ac:dyDescent="0.2"/>
    <row r="128" s="28" customFormat="1" x14ac:dyDescent="0.2"/>
    <row r="129" s="28" customFormat="1" x14ac:dyDescent="0.2"/>
    <row r="130" s="28" customFormat="1" x14ac:dyDescent="0.2"/>
    <row r="131" s="28" customFormat="1" x14ac:dyDescent="0.2"/>
    <row r="132" s="28" customFormat="1" x14ac:dyDescent="0.2"/>
    <row r="133" s="28" customFormat="1" x14ac:dyDescent="0.2"/>
    <row r="134" s="28" customFormat="1" x14ac:dyDescent="0.2"/>
    <row r="135" s="28" customFormat="1" x14ac:dyDescent="0.2"/>
    <row r="136" s="28" customFormat="1" x14ac:dyDescent="0.2"/>
    <row r="137" s="28" customFormat="1" x14ac:dyDescent="0.2"/>
    <row r="138" s="28" customFormat="1" x14ac:dyDescent="0.2"/>
    <row r="139" s="28" customFormat="1" x14ac:dyDescent="0.2"/>
    <row r="140" s="28" customFormat="1" x14ac:dyDescent="0.2"/>
    <row r="141" s="28" customFormat="1" x14ac:dyDescent="0.2"/>
    <row r="142" s="28" customFormat="1" x14ac:dyDescent="0.2"/>
    <row r="143" s="28" customFormat="1" x14ac:dyDescent="0.2"/>
    <row r="144" s="28" customFormat="1" x14ac:dyDescent="0.2"/>
    <row r="145" s="28" customFormat="1" x14ac:dyDescent="0.2"/>
    <row r="146" s="28" customFormat="1" x14ac:dyDescent="0.2"/>
    <row r="147" s="28" customFormat="1" x14ac:dyDescent="0.2"/>
    <row r="148" s="28" customFormat="1" x14ac:dyDescent="0.2"/>
    <row r="149" s="28" customFormat="1" x14ac:dyDescent="0.2"/>
    <row r="150" s="28" customFormat="1" x14ac:dyDescent="0.2"/>
    <row r="151" s="28" customFormat="1" x14ac:dyDescent="0.2"/>
    <row r="152" s="28" customFormat="1" x14ac:dyDescent="0.2"/>
    <row r="153" s="28" customFormat="1" x14ac:dyDescent="0.2"/>
    <row r="154" s="28" customFormat="1" x14ac:dyDescent="0.2"/>
    <row r="155" s="28" customFormat="1" x14ac:dyDescent="0.2"/>
    <row r="156" s="28" customFormat="1" x14ac:dyDescent="0.2"/>
    <row r="157" s="28" customFormat="1" x14ac:dyDescent="0.2"/>
    <row r="158" s="28" customFormat="1" x14ac:dyDescent="0.2"/>
    <row r="159" s="28" customFormat="1" x14ac:dyDescent="0.2"/>
    <row r="160" s="28" customFormat="1" x14ac:dyDescent="0.2"/>
    <row r="161" s="28" customFormat="1" x14ac:dyDescent="0.2"/>
    <row r="162" s="28" customFormat="1" x14ac:dyDescent="0.2"/>
    <row r="163" s="28" customFormat="1" x14ac:dyDescent="0.2"/>
    <row r="164" s="28" customFormat="1" x14ac:dyDescent="0.2"/>
    <row r="165" s="28" customFormat="1" x14ac:dyDescent="0.2"/>
    <row r="166" s="28" customFormat="1" x14ac:dyDescent="0.2"/>
    <row r="167" s="28" customFormat="1" x14ac:dyDescent="0.2"/>
    <row r="168" s="28" customFormat="1" x14ac:dyDescent="0.2"/>
    <row r="169" s="28" customFormat="1" x14ac:dyDescent="0.2"/>
    <row r="170" s="28" customFormat="1" x14ac:dyDescent="0.2"/>
    <row r="171" s="28" customFormat="1" x14ac:dyDescent="0.2"/>
    <row r="172" s="28" customFormat="1" x14ac:dyDescent="0.2"/>
    <row r="173" s="28" customFormat="1" x14ac:dyDescent="0.2"/>
    <row r="174" s="28" customFormat="1" x14ac:dyDescent="0.2"/>
    <row r="175" s="28" customFormat="1" x14ac:dyDescent="0.2"/>
    <row r="176" s="28" customFormat="1" x14ac:dyDescent="0.2"/>
    <row r="177" s="28" customFormat="1" x14ac:dyDescent="0.2"/>
    <row r="178" s="28" customFormat="1" x14ac:dyDescent="0.2"/>
    <row r="179" s="28" customFormat="1" x14ac:dyDescent="0.2"/>
    <row r="180" s="28" customFormat="1" x14ac:dyDescent="0.2"/>
    <row r="181" s="28" customFormat="1" x14ac:dyDescent="0.2"/>
    <row r="182" s="28" customFormat="1" x14ac:dyDescent="0.2"/>
    <row r="183" s="28" customFormat="1" x14ac:dyDescent="0.2"/>
    <row r="184" s="28" customFormat="1" x14ac:dyDescent="0.2"/>
    <row r="185" s="28" customFormat="1" x14ac:dyDescent="0.2"/>
    <row r="186" s="28" customFormat="1" x14ac:dyDescent="0.2"/>
    <row r="187" s="28" customFormat="1" x14ac:dyDescent="0.2"/>
    <row r="188" s="28" customFormat="1" x14ac:dyDescent="0.2"/>
    <row r="189" s="28" customFormat="1" x14ac:dyDescent="0.2"/>
    <row r="190" s="28" customFormat="1" x14ac:dyDescent="0.2"/>
    <row r="191" s="28" customFormat="1" x14ac:dyDescent="0.2"/>
    <row r="192" s="28" customFormat="1" x14ac:dyDescent="0.2"/>
    <row r="193" s="28" customFormat="1" x14ac:dyDescent="0.2"/>
    <row r="194" s="28" customFormat="1" x14ac:dyDescent="0.2"/>
    <row r="195" s="28" customFormat="1" x14ac:dyDescent="0.2"/>
    <row r="196" s="28" customFormat="1" x14ac:dyDescent="0.2"/>
    <row r="197" s="28" customFormat="1" x14ac:dyDescent="0.2"/>
    <row r="198" s="28" customFormat="1" x14ac:dyDescent="0.2"/>
    <row r="199" s="28" customFormat="1" x14ac:dyDescent="0.2"/>
    <row r="200" s="28" customFormat="1" x14ac:dyDescent="0.2"/>
    <row r="201" s="28" customFormat="1" x14ac:dyDescent="0.2"/>
    <row r="202" s="28" customFormat="1" x14ac:dyDescent="0.2"/>
    <row r="203" s="28" customFormat="1" x14ac:dyDescent="0.2"/>
    <row r="204" s="28" customFormat="1" x14ac:dyDescent="0.2"/>
    <row r="205" s="28" customFormat="1" x14ac:dyDescent="0.2"/>
    <row r="206" s="28" customFormat="1" x14ac:dyDescent="0.2"/>
    <row r="207" s="28" customFormat="1" x14ac:dyDescent="0.2"/>
    <row r="208" s="28" customFormat="1" x14ac:dyDescent="0.2"/>
    <row r="209" s="28" customFormat="1" x14ac:dyDescent="0.2"/>
    <row r="210" s="28" customFormat="1" x14ac:dyDescent="0.2"/>
    <row r="211" s="28" customFormat="1" x14ac:dyDescent="0.2"/>
    <row r="212" s="28" customFormat="1" x14ac:dyDescent="0.2"/>
    <row r="213" s="28" customFormat="1" x14ac:dyDescent="0.2"/>
    <row r="214" s="28" customFormat="1" x14ac:dyDescent="0.2"/>
    <row r="215" s="28" customFormat="1" x14ac:dyDescent="0.2"/>
    <row r="216" s="28" customFormat="1" x14ac:dyDescent="0.2"/>
    <row r="217" s="28" customFormat="1" x14ac:dyDescent="0.2"/>
    <row r="218" s="28" customFormat="1" x14ac:dyDescent="0.2"/>
    <row r="219" s="28" customFormat="1" x14ac:dyDescent="0.2"/>
    <row r="220" s="28" customFormat="1" x14ac:dyDescent="0.2"/>
    <row r="221" s="28" customFormat="1" x14ac:dyDescent="0.2"/>
    <row r="222" s="28" customFormat="1" x14ac:dyDescent="0.2"/>
    <row r="223" s="28" customFormat="1" x14ac:dyDescent="0.2"/>
    <row r="224" s="28" customFormat="1" x14ac:dyDescent="0.2"/>
    <row r="225" s="28" customFormat="1" x14ac:dyDescent="0.2"/>
    <row r="226" s="28" customFormat="1" x14ac:dyDescent="0.2"/>
    <row r="227" s="28" customFormat="1" x14ac:dyDescent="0.2"/>
    <row r="228" s="28" customFormat="1" x14ac:dyDescent="0.2"/>
    <row r="229" s="28" customFormat="1" x14ac:dyDescent="0.2"/>
    <row r="230" s="28" customFormat="1" x14ac:dyDescent="0.2"/>
    <row r="231" s="28" customFormat="1" x14ac:dyDescent="0.2"/>
    <row r="232" s="28" customFormat="1" x14ac:dyDescent="0.2"/>
    <row r="233" s="28" customFormat="1" x14ac:dyDescent="0.2"/>
    <row r="234" s="28" customFormat="1" x14ac:dyDescent="0.2"/>
    <row r="235" s="28" customFormat="1" x14ac:dyDescent="0.2"/>
    <row r="236" s="28" customFormat="1" x14ac:dyDescent="0.2"/>
    <row r="237" s="28" customFormat="1" x14ac:dyDescent="0.2"/>
    <row r="238" s="28" customFormat="1" x14ac:dyDescent="0.2"/>
    <row r="239" s="28" customFormat="1" x14ac:dyDescent="0.2"/>
    <row r="240" s="28" customFormat="1" x14ac:dyDescent="0.2"/>
    <row r="241" s="28" customFormat="1" x14ac:dyDescent="0.2"/>
    <row r="242" s="28" customFormat="1" x14ac:dyDescent="0.2"/>
    <row r="243" s="28" customFormat="1" x14ac:dyDescent="0.2"/>
    <row r="244" s="28" customFormat="1" x14ac:dyDescent="0.2"/>
    <row r="245" s="28" customFormat="1" x14ac:dyDescent="0.2"/>
    <row r="246" s="28" customFormat="1" x14ac:dyDescent="0.2"/>
    <row r="247" s="28" customFormat="1" x14ac:dyDescent="0.2"/>
    <row r="248" s="28" customFormat="1" x14ac:dyDescent="0.2"/>
    <row r="249" s="28" customFormat="1" x14ac:dyDescent="0.2"/>
    <row r="250" s="28" customFormat="1" x14ac:dyDescent="0.2"/>
    <row r="251" s="28" customFormat="1" x14ac:dyDescent="0.2"/>
    <row r="252" s="28" customFormat="1" x14ac:dyDescent="0.2"/>
  </sheetData>
  <mergeCells count="17">
    <mergeCell ref="B33:E33"/>
    <mergeCell ref="B30:H30"/>
    <mergeCell ref="B27:E27"/>
    <mergeCell ref="B36:C36"/>
    <mergeCell ref="B35:C35"/>
    <mergeCell ref="B34:C34"/>
    <mergeCell ref="D36:E36"/>
    <mergeCell ref="D35:E35"/>
    <mergeCell ref="D34:E34"/>
    <mergeCell ref="I28:J28"/>
    <mergeCell ref="I4:J4"/>
    <mergeCell ref="B3:E3"/>
    <mergeCell ref="D1:E1"/>
    <mergeCell ref="B11:H11"/>
    <mergeCell ref="B15:H15"/>
    <mergeCell ref="B19:H19"/>
    <mergeCell ref="B23:H23"/>
  </mergeCells>
  <phoneticPr fontId="3" type="noConversion"/>
  <dataValidations count="1">
    <dataValidation type="list" allowBlank="1" showErrorMessage="1" sqref="C5:C10 C12:C14 C16:C18 C31 C29 C20:C25" xr:uid="{174AB4D9-936F-49CB-B121-093C17C46BD5}">
      <formula1>"Yes,No"</formula1>
    </dataValidation>
  </dataValidations>
  <pageMargins left="0.7" right="0.7" top="0.75" bottom="0.75" header="0.3" footer="0.3"/>
  <ignoredErrors>
    <ignoredError sqref="F21" twoDigitTextYear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777B-C8A6-4953-BF0A-29EFBFA12232}">
  <sheetPr>
    <tabColor rgb="FFE49EDD"/>
    <pageSetUpPr fitToPage="1"/>
  </sheetPr>
  <dimension ref="A1:BD891"/>
  <sheetViews>
    <sheetView workbookViewId="0"/>
  </sheetViews>
  <sheetFormatPr baseColWidth="10" defaultColWidth="14.42578125" defaultRowHeight="15.75" customHeight="1" x14ac:dyDescent="0.2"/>
  <cols>
    <col min="1" max="1" width="3" style="31" customWidth="1"/>
    <col min="2" max="2" width="8.7109375" style="8" customWidth="1"/>
    <col min="3" max="3" width="20.7109375" customWidth="1"/>
    <col min="4" max="4" width="129.42578125" customWidth="1"/>
    <col min="5" max="5" width="22.7109375" customWidth="1"/>
    <col min="6" max="7" width="15.7109375" customWidth="1"/>
    <col min="8" max="8" width="30.7109375" customWidth="1"/>
    <col min="9" max="9" width="11.7109375" customWidth="1"/>
    <col min="10" max="10" width="15.7109375" customWidth="1"/>
    <col min="11" max="11" width="24.7109375" customWidth="1"/>
    <col min="12" max="12" width="16.7109375" customWidth="1"/>
    <col min="13" max="13" width="15.7109375" customWidth="1"/>
    <col min="14" max="15" width="17.7109375" customWidth="1"/>
    <col min="16" max="16" width="60.7109375" customWidth="1"/>
    <col min="17" max="18" width="14.42578125" customWidth="1"/>
  </cols>
  <sheetData>
    <row r="1" spans="1:56" s="3" customFormat="1" ht="45" customHeight="1" x14ac:dyDescent="0.2">
      <c r="B1" s="197" t="s">
        <v>243</v>
      </c>
      <c r="C1" s="197"/>
      <c r="D1" s="197"/>
      <c r="E1" s="196"/>
      <c r="F1" s="196"/>
      <c r="G1" s="196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1:56" s="3" customFormat="1" ht="19.5" customHeight="1" x14ac:dyDescent="0.2">
      <c r="C2" s="2"/>
      <c r="D2" s="104"/>
      <c r="E2" s="193"/>
      <c r="F2" s="193"/>
      <c r="G2" s="193"/>
      <c r="H2" s="2"/>
      <c r="I2" s="15"/>
      <c r="J2" s="15"/>
      <c r="K2" s="15"/>
      <c r="L2" s="9"/>
      <c r="M2" s="9"/>
      <c r="N2" s="2"/>
      <c r="O2" s="2"/>
      <c r="P2" s="2"/>
      <c r="Q2" s="2"/>
      <c r="R2" s="2"/>
      <c r="S2" s="2"/>
      <c r="T2" s="2"/>
    </row>
    <row r="3" spans="1:56" ht="22.15" customHeight="1" x14ac:dyDescent="0.2">
      <c r="A3" s="34"/>
      <c r="B3" s="14" t="s">
        <v>0</v>
      </c>
      <c r="C3" s="70" t="s">
        <v>4</v>
      </c>
      <c r="D3" s="194" t="s">
        <v>2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</row>
    <row r="4" spans="1:56" ht="55.15" customHeight="1" x14ac:dyDescent="0.25">
      <c r="A4" s="35"/>
      <c r="B4" s="46"/>
      <c r="C4" s="61"/>
      <c r="D4" s="195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</row>
    <row r="5" spans="1:56" ht="55.15" customHeight="1" x14ac:dyDescent="0.25">
      <c r="A5" s="35"/>
      <c r="B5" s="13"/>
      <c r="C5" s="61"/>
      <c r="D5" s="195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</row>
    <row r="6" spans="1:56" ht="55.15" customHeight="1" x14ac:dyDescent="0.25">
      <c r="A6" s="35"/>
      <c r="B6" s="13"/>
      <c r="C6" s="61"/>
      <c r="D6" s="19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</row>
    <row r="7" spans="1:56" ht="55.15" customHeight="1" x14ac:dyDescent="0.25">
      <c r="A7" s="35"/>
      <c r="B7" s="13"/>
      <c r="C7" s="61"/>
      <c r="D7" s="195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 spans="1:56" ht="55.15" customHeight="1" x14ac:dyDescent="0.25">
      <c r="A8" s="35"/>
      <c r="B8" s="13"/>
      <c r="C8" s="61"/>
      <c r="D8" s="195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 spans="1:56" ht="55.15" customHeight="1" x14ac:dyDescent="0.25">
      <c r="A9" s="35"/>
      <c r="B9" s="13"/>
      <c r="C9" s="61"/>
      <c r="D9" s="195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</row>
    <row r="10" spans="1:56" s="31" customFormat="1" ht="12.75" x14ac:dyDescent="0.2">
      <c r="A10" s="34"/>
      <c r="B10" s="37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</row>
    <row r="11" spans="1:56" s="31" customFormat="1" ht="12.75" x14ac:dyDescent="0.2">
      <c r="B11" s="38"/>
    </row>
    <row r="12" spans="1:56" s="31" customFormat="1" ht="12.75" x14ac:dyDescent="0.2">
      <c r="A12" s="34"/>
      <c r="B12" s="37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</row>
    <row r="13" spans="1:56" s="31" customFormat="1" ht="12.75" x14ac:dyDescent="0.2">
      <c r="A13" s="34"/>
      <c r="B13" s="37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1:56" s="31" customFormat="1" ht="12.75" x14ac:dyDescent="0.2">
      <c r="A14" s="34"/>
      <c r="B14" s="37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spans="1:56" s="31" customFormat="1" ht="12.75" x14ac:dyDescent="0.2">
      <c r="A15" s="34"/>
      <c r="B15" s="37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 spans="1:56" s="31" customFormat="1" ht="12.75" x14ac:dyDescent="0.2">
      <c r="A16" s="34"/>
      <c r="B16" s="37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s="31" customFormat="1" ht="12.75" x14ac:dyDescent="0.2">
      <c r="A17" s="34"/>
      <c r="B17" s="37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s="31" customFormat="1" ht="12.75" x14ac:dyDescent="0.2">
      <c r="A18" s="34"/>
      <c r="B18" s="37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spans="1:17" s="31" customFormat="1" ht="12.75" x14ac:dyDescent="0.2">
      <c r="A19" s="34"/>
      <c r="B19" s="37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spans="1:17" s="31" customFormat="1" ht="12.75" x14ac:dyDescent="0.2">
      <c r="A20" s="34"/>
      <c r="B20" s="37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</row>
    <row r="21" spans="1:17" s="31" customFormat="1" ht="12.75" x14ac:dyDescent="0.2">
      <c r="A21" s="34"/>
      <c r="B21" s="37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</row>
    <row r="22" spans="1:17" s="31" customFormat="1" ht="12.75" x14ac:dyDescent="0.2">
      <c r="A22" s="34"/>
      <c r="B22" s="37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s="31" customFormat="1" ht="12.75" x14ac:dyDescent="0.2">
      <c r="A23" s="34"/>
      <c r="B23" s="37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spans="1:17" s="31" customFormat="1" ht="12.75" x14ac:dyDescent="0.2">
      <c r="A24" s="34"/>
      <c r="B24" s="37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</row>
    <row r="25" spans="1:17" s="31" customFormat="1" ht="12.75" x14ac:dyDescent="0.2">
      <c r="A25" s="34"/>
      <c r="B25" s="37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1:17" s="31" customFormat="1" ht="12.75" x14ac:dyDescent="0.2">
      <c r="A26" s="34"/>
      <c r="B26" s="37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</row>
    <row r="27" spans="1:17" s="31" customFormat="1" ht="12.75" x14ac:dyDescent="0.2">
      <c r="A27" s="34"/>
      <c r="B27" s="37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s="31" customFormat="1" ht="12.75" x14ac:dyDescent="0.2">
      <c r="A28" s="34"/>
      <c r="B28" s="37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s="31" customFormat="1" ht="12.75" x14ac:dyDescent="0.2">
      <c r="A29" s="34"/>
      <c r="B29" s="37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s="31" customFormat="1" ht="12.75" x14ac:dyDescent="0.2">
      <c r="A30" s="34"/>
      <c r="B30" s="37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spans="1:17" s="31" customFormat="1" ht="12.75" x14ac:dyDescent="0.2">
      <c r="A31" s="34"/>
      <c r="B31" s="37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</row>
    <row r="32" spans="1:17" s="31" customFormat="1" ht="12.75" x14ac:dyDescent="0.2">
      <c r="A32" s="34"/>
      <c r="B32" s="37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</row>
    <row r="33" spans="1:17" s="31" customFormat="1" ht="12.75" x14ac:dyDescent="0.2">
      <c r="A33" s="34"/>
      <c r="B33" s="37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17" s="31" customFormat="1" ht="12.75" x14ac:dyDescent="0.2">
      <c r="A34" s="34"/>
      <c r="B34" s="37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s="31" customFormat="1" ht="12.75" x14ac:dyDescent="0.2">
      <c r="A35" s="34"/>
      <c r="B35" s="37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1:17" s="31" customFormat="1" ht="12.75" x14ac:dyDescent="0.2">
      <c r="A36" s="34"/>
      <c r="B36" s="37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spans="1:17" s="31" customFormat="1" ht="12.75" x14ac:dyDescent="0.2">
      <c r="A37" s="34"/>
      <c r="B37" s="37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</row>
    <row r="38" spans="1:17" s="31" customFormat="1" ht="12.75" x14ac:dyDescent="0.2">
      <c r="A38" s="34"/>
      <c r="B38" s="37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spans="1:17" s="31" customFormat="1" ht="12.75" x14ac:dyDescent="0.2">
      <c r="A39" s="34"/>
      <c r="B39" s="37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</row>
    <row r="40" spans="1:17" s="31" customFormat="1" ht="12.75" x14ac:dyDescent="0.2">
      <c r="A40" s="34"/>
      <c r="B40" s="37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</row>
    <row r="41" spans="1:17" s="31" customFormat="1" ht="12.75" x14ac:dyDescent="0.2">
      <c r="A41" s="34"/>
      <c r="B41" s="37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</row>
    <row r="42" spans="1:17" s="31" customFormat="1" ht="12.75" x14ac:dyDescent="0.2">
      <c r="A42" s="34"/>
      <c r="B42" s="37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</row>
    <row r="43" spans="1:17" s="31" customFormat="1" ht="12.75" x14ac:dyDescent="0.2">
      <c r="A43" s="34"/>
      <c r="B43" s="37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</row>
    <row r="44" spans="1:17" s="31" customFormat="1" ht="12.75" x14ac:dyDescent="0.2">
      <c r="A44" s="34"/>
      <c r="B44" s="37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</row>
    <row r="45" spans="1:17" s="31" customFormat="1" ht="12.75" x14ac:dyDescent="0.2">
      <c r="A45" s="34"/>
      <c r="B45" s="37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 spans="1:17" s="31" customFormat="1" ht="12.75" x14ac:dyDescent="0.2">
      <c r="A46" s="34"/>
      <c r="B46" s="37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 s="31" customFormat="1" ht="12.75" x14ac:dyDescent="0.2">
      <c r="A47" s="34"/>
      <c r="B47" s="3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spans="1:17" s="31" customFormat="1" ht="12.75" x14ac:dyDescent="0.2">
      <c r="A48" s="34"/>
      <c r="B48" s="37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spans="1:17" s="31" customFormat="1" ht="12.75" x14ac:dyDescent="0.2">
      <c r="A49" s="34"/>
      <c r="B49" s="3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</row>
    <row r="50" spans="1:17" s="31" customFormat="1" ht="12.75" x14ac:dyDescent="0.2">
      <c r="A50" s="34"/>
      <c r="B50" s="37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</row>
    <row r="51" spans="1:17" s="31" customFormat="1" ht="12.75" x14ac:dyDescent="0.2">
      <c r="A51" s="34"/>
      <c r="B51" s="37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s="31" customFormat="1" ht="12.75" x14ac:dyDescent="0.2">
      <c r="A52" s="34"/>
      <c r="B52" s="37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1:17" s="31" customFormat="1" ht="12.75" x14ac:dyDescent="0.2">
      <c r="A53" s="34"/>
      <c r="B53" s="37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</row>
    <row r="54" spans="1:17" s="31" customFormat="1" ht="12.75" x14ac:dyDescent="0.2">
      <c r="A54" s="34"/>
      <c r="B54" s="37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5" spans="1:17" s="31" customFormat="1" ht="12.75" x14ac:dyDescent="0.2">
      <c r="A55" s="34"/>
      <c r="B55" s="37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</row>
    <row r="56" spans="1:17" s="31" customFormat="1" ht="12.75" x14ac:dyDescent="0.2">
      <c r="A56" s="34"/>
      <c r="B56" s="37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</row>
    <row r="57" spans="1:17" s="31" customFormat="1" ht="12.75" x14ac:dyDescent="0.2">
      <c r="A57" s="34"/>
      <c r="B57" s="37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 spans="1:17" s="31" customFormat="1" ht="12.75" x14ac:dyDescent="0.2">
      <c r="A58" s="34"/>
      <c r="B58" s="37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 spans="1:17" s="31" customFormat="1" ht="12.75" x14ac:dyDescent="0.2">
      <c r="A59" s="34"/>
      <c r="B59" s="37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 spans="1:17" s="31" customFormat="1" ht="12.75" x14ac:dyDescent="0.2">
      <c r="A60" s="34"/>
      <c r="B60" s="37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 spans="1:17" s="31" customFormat="1" ht="12.75" x14ac:dyDescent="0.2">
      <c r="A61" s="34"/>
      <c r="B61" s="37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 spans="1:17" s="31" customFormat="1" ht="12.75" x14ac:dyDescent="0.2">
      <c r="A62" s="34"/>
      <c r="B62" s="37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 spans="1:17" s="31" customFormat="1" ht="12.75" x14ac:dyDescent="0.2">
      <c r="A63" s="34"/>
      <c r="B63" s="37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 spans="1:17" s="31" customFormat="1" ht="12.75" x14ac:dyDescent="0.2">
      <c r="A64" s="34"/>
      <c r="B64" s="37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 spans="1:17" s="31" customFormat="1" ht="12.75" x14ac:dyDescent="0.2">
      <c r="A65" s="34"/>
      <c r="B65" s="37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6" spans="1:17" s="31" customFormat="1" ht="12.75" x14ac:dyDescent="0.2">
      <c r="A66" s="34"/>
      <c r="B66" s="37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</row>
    <row r="67" spans="1:17" s="31" customFormat="1" ht="12.75" x14ac:dyDescent="0.2">
      <c r="A67" s="34"/>
      <c r="B67" s="37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8" spans="1:17" s="31" customFormat="1" ht="12.75" x14ac:dyDescent="0.2">
      <c r="A68" s="34"/>
      <c r="B68" s="37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 spans="1:17" s="31" customFormat="1" ht="12.75" x14ac:dyDescent="0.2">
      <c r="A69" s="34"/>
      <c r="B69" s="37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</row>
    <row r="70" spans="1:17" s="31" customFormat="1" ht="12.75" x14ac:dyDescent="0.2">
      <c r="A70" s="34"/>
      <c r="B70" s="37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</row>
    <row r="71" spans="1:17" s="31" customFormat="1" ht="12.75" x14ac:dyDescent="0.2">
      <c r="A71" s="34"/>
      <c r="B71" s="37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</row>
    <row r="72" spans="1:17" s="31" customFormat="1" ht="12.75" x14ac:dyDescent="0.2">
      <c r="A72" s="34"/>
      <c r="B72" s="37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</row>
    <row r="73" spans="1:17" s="31" customFormat="1" ht="12.75" x14ac:dyDescent="0.2">
      <c r="A73" s="34"/>
      <c r="B73" s="37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</row>
    <row r="74" spans="1:17" s="31" customFormat="1" ht="12.75" x14ac:dyDescent="0.2">
      <c r="A74" s="34"/>
      <c r="B74" s="37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</row>
    <row r="75" spans="1:17" s="31" customFormat="1" ht="12.75" x14ac:dyDescent="0.2">
      <c r="A75" s="34"/>
      <c r="B75" s="37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</row>
    <row r="76" spans="1:17" s="31" customFormat="1" ht="12.75" x14ac:dyDescent="0.2">
      <c r="A76" s="34"/>
      <c r="B76" s="37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</row>
    <row r="77" spans="1:17" s="31" customFormat="1" ht="12.75" x14ac:dyDescent="0.2">
      <c r="A77" s="34"/>
      <c r="B77" s="37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</row>
    <row r="78" spans="1:17" s="31" customFormat="1" ht="12.75" x14ac:dyDescent="0.2">
      <c r="A78" s="34"/>
      <c r="B78" s="37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</row>
    <row r="79" spans="1:17" s="31" customFormat="1" ht="12.75" x14ac:dyDescent="0.2">
      <c r="A79" s="34"/>
      <c r="B79" s="37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</row>
    <row r="80" spans="1:17" s="31" customFormat="1" ht="12.75" x14ac:dyDescent="0.2">
      <c r="A80" s="34"/>
      <c r="B80" s="37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</row>
    <row r="81" spans="1:17" s="31" customFormat="1" ht="12.75" x14ac:dyDescent="0.2">
      <c r="A81" s="34"/>
      <c r="B81" s="37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</row>
    <row r="82" spans="1:17" s="31" customFormat="1" ht="12.75" x14ac:dyDescent="0.2">
      <c r="A82" s="34"/>
      <c r="B82" s="37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</row>
    <row r="83" spans="1:17" s="31" customFormat="1" ht="12.75" x14ac:dyDescent="0.2">
      <c r="A83" s="34"/>
      <c r="B83" s="37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 spans="1:17" s="31" customFormat="1" ht="12.75" x14ac:dyDescent="0.2">
      <c r="A84" s="34"/>
      <c r="B84" s="37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</row>
    <row r="85" spans="1:17" s="31" customFormat="1" ht="12.75" x14ac:dyDescent="0.2">
      <c r="A85" s="34"/>
      <c r="B85" s="37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</row>
    <row r="86" spans="1:17" s="31" customFormat="1" ht="12.75" x14ac:dyDescent="0.2">
      <c r="A86" s="34"/>
      <c r="B86" s="37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</row>
    <row r="87" spans="1:17" s="31" customFormat="1" ht="12.75" x14ac:dyDescent="0.2">
      <c r="A87" s="34"/>
      <c r="B87" s="37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</row>
    <row r="88" spans="1:17" s="31" customFormat="1" ht="12.75" x14ac:dyDescent="0.2">
      <c r="A88" s="34"/>
      <c r="B88" s="37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</row>
    <row r="89" spans="1:17" s="31" customFormat="1" ht="12.75" x14ac:dyDescent="0.2">
      <c r="A89" s="34"/>
      <c r="B89" s="37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</row>
    <row r="90" spans="1:17" s="31" customFormat="1" ht="12.75" x14ac:dyDescent="0.2">
      <c r="A90" s="34"/>
      <c r="B90" s="37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</row>
    <row r="91" spans="1:17" s="31" customFormat="1" ht="12.75" x14ac:dyDescent="0.2">
      <c r="A91" s="34"/>
      <c r="B91" s="37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 spans="1:17" s="31" customFormat="1" ht="12.75" x14ac:dyDescent="0.2">
      <c r="A92" s="34"/>
      <c r="B92" s="37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 spans="1:17" s="31" customFormat="1" ht="12.75" x14ac:dyDescent="0.2">
      <c r="A93" s="34"/>
      <c r="B93" s="37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</row>
    <row r="94" spans="1:17" s="31" customFormat="1" ht="12.75" x14ac:dyDescent="0.2">
      <c r="A94" s="34"/>
      <c r="B94" s="37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</row>
    <row r="95" spans="1:17" s="31" customFormat="1" ht="12.75" x14ac:dyDescent="0.2">
      <c r="A95" s="34"/>
      <c r="B95" s="37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6" spans="1:17" s="31" customFormat="1" ht="12.75" x14ac:dyDescent="0.2">
      <c r="A96" s="34"/>
      <c r="B96" s="37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</row>
    <row r="97" spans="1:17" s="31" customFormat="1" ht="12.75" x14ac:dyDescent="0.2">
      <c r="A97" s="34"/>
      <c r="B97" s="37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</row>
    <row r="98" spans="1:17" s="31" customFormat="1" ht="12.75" x14ac:dyDescent="0.2">
      <c r="A98" s="34"/>
      <c r="B98" s="37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</row>
    <row r="99" spans="1:17" s="31" customFormat="1" ht="12.75" x14ac:dyDescent="0.2">
      <c r="A99" s="34"/>
      <c r="B99" s="37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 spans="1:17" s="31" customFormat="1" ht="12.75" x14ac:dyDescent="0.2">
      <c r="A100" s="34"/>
      <c r="B100" s="37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 spans="1:17" s="31" customFormat="1" ht="12.75" x14ac:dyDescent="0.2">
      <c r="A101" s="34"/>
      <c r="B101" s="37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</row>
    <row r="102" spans="1:17" s="31" customFormat="1" ht="12.75" x14ac:dyDescent="0.2">
      <c r="A102" s="34"/>
      <c r="B102" s="37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</row>
    <row r="103" spans="1:17" s="31" customFormat="1" ht="12.75" x14ac:dyDescent="0.2">
      <c r="A103" s="34"/>
      <c r="B103" s="37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</row>
    <row r="104" spans="1:17" s="31" customFormat="1" ht="12.75" x14ac:dyDescent="0.2">
      <c r="A104" s="34"/>
      <c r="B104" s="37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</row>
    <row r="105" spans="1:17" s="31" customFormat="1" ht="12.75" x14ac:dyDescent="0.2">
      <c r="A105" s="34"/>
      <c r="B105" s="37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6" spans="1:17" s="31" customFormat="1" ht="12.75" x14ac:dyDescent="0.2">
      <c r="A106" s="34"/>
      <c r="B106" s="37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</row>
    <row r="107" spans="1:17" s="31" customFormat="1" ht="12.75" x14ac:dyDescent="0.2">
      <c r="A107" s="34"/>
      <c r="B107" s="37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</row>
    <row r="108" spans="1:17" s="31" customFormat="1" ht="12.75" x14ac:dyDescent="0.2">
      <c r="A108" s="34"/>
      <c r="B108" s="37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</row>
    <row r="109" spans="1:17" s="31" customFormat="1" ht="12.75" x14ac:dyDescent="0.2">
      <c r="A109" s="34"/>
      <c r="B109" s="37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</row>
    <row r="110" spans="1:17" s="31" customFormat="1" ht="12.75" x14ac:dyDescent="0.2">
      <c r="A110" s="34"/>
      <c r="B110" s="37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</row>
    <row r="111" spans="1:17" s="31" customFormat="1" ht="12.75" x14ac:dyDescent="0.2">
      <c r="A111" s="34"/>
      <c r="B111" s="37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</row>
    <row r="112" spans="1:17" s="31" customFormat="1" ht="12.75" x14ac:dyDescent="0.2">
      <c r="A112" s="34"/>
      <c r="B112" s="37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</row>
    <row r="113" spans="1:17" s="31" customFormat="1" ht="12.75" x14ac:dyDescent="0.2">
      <c r="A113" s="34"/>
      <c r="B113" s="37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</row>
    <row r="114" spans="1:17" s="31" customFormat="1" ht="12.75" x14ac:dyDescent="0.2">
      <c r="A114" s="34"/>
      <c r="B114" s="37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</row>
    <row r="115" spans="1:17" s="31" customFormat="1" ht="12.75" x14ac:dyDescent="0.2">
      <c r="A115" s="34"/>
      <c r="B115" s="37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</row>
    <row r="116" spans="1:17" s="31" customFormat="1" ht="12.75" x14ac:dyDescent="0.2">
      <c r="A116" s="34"/>
      <c r="B116" s="37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</row>
    <row r="117" spans="1:17" s="31" customFormat="1" ht="12.75" x14ac:dyDescent="0.2">
      <c r="A117" s="34"/>
      <c r="B117" s="37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 spans="1:17" s="31" customFormat="1" ht="12.75" x14ac:dyDescent="0.2">
      <c r="A118" s="34"/>
      <c r="B118" s="37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</row>
    <row r="119" spans="1:17" s="31" customFormat="1" ht="12.75" x14ac:dyDescent="0.2">
      <c r="A119" s="34"/>
      <c r="B119" s="37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 spans="1:17" s="31" customFormat="1" ht="12.75" x14ac:dyDescent="0.2">
      <c r="A120" s="34"/>
      <c r="B120" s="37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 spans="1:17" s="31" customFormat="1" ht="12.75" x14ac:dyDescent="0.2">
      <c r="A121" s="34"/>
      <c r="B121" s="37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 spans="1:17" s="31" customFormat="1" ht="12.75" x14ac:dyDescent="0.2">
      <c r="A122" s="34"/>
      <c r="B122" s="37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 spans="1:17" s="31" customFormat="1" ht="12.75" x14ac:dyDescent="0.2">
      <c r="A123" s="34"/>
      <c r="B123" s="37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4" spans="1:17" s="31" customFormat="1" ht="12.75" x14ac:dyDescent="0.2">
      <c r="A124" s="34"/>
      <c r="B124" s="37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</row>
    <row r="125" spans="1:17" s="31" customFormat="1" ht="12.75" x14ac:dyDescent="0.2">
      <c r="A125" s="34"/>
      <c r="B125" s="37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6" spans="1:17" s="31" customFormat="1" ht="12.75" x14ac:dyDescent="0.2">
      <c r="A126" s="34"/>
      <c r="B126" s="37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</row>
    <row r="127" spans="1:17" s="31" customFormat="1" ht="12.75" x14ac:dyDescent="0.2">
      <c r="A127" s="34"/>
      <c r="B127" s="37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 spans="1:17" s="31" customFormat="1" ht="12.75" x14ac:dyDescent="0.2">
      <c r="A128" s="34"/>
      <c r="B128" s="37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</row>
    <row r="129" spans="1:17" s="31" customFormat="1" ht="12.75" x14ac:dyDescent="0.2">
      <c r="A129" s="34"/>
      <c r="B129" s="37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</row>
    <row r="130" spans="1:17" s="31" customFormat="1" ht="12.75" x14ac:dyDescent="0.2">
      <c r="A130" s="34"/>
      <c r="B130" s="37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</row>
    <row r="131" spans="1:17" s="31" customFormat="1" ht="12.75" x14ac:dyDescent="0.2">
      <c r="A131" s="34"/>
      <c r="B131" s="37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 spans="1:17" s="31" customFormat="1" ht="12.75" x14ac:dyDescent="0.2">
      <c r="A132" s="34"/>
      <c r="B132" s="37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 spans="1:17" s="31" customFormat="1" ht="12.75" x14ac:dyDescent="0.2">
      <c r="A133" s="34"/>
      <c r="B133" s="37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</row>
    <row r="134" spans="1:17" s="31" customFormat="1" ht="12.75" x14ac:dyDescent="0.2">
      <c r="A134" s="34"/>
      <c r="B134" s="37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</row>
    <row r="135" spans="1:17" s="31" customFormat="1" ht="12.75" x14ac:dyDescent="0.2">
      <c r="A135" s="34"/>
      <c r="B135" s="37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</row>
    <row r="136" spans="1:17" s="31" customFormat="1" ht="12.75" x14ac:dyDescent="0.2">
      <c r="A136" s="34"/>
      <c r="B136" s="37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</row>
    <row r="137" spans="1:17" s="31" customFormat="1" ht="12.75" x14ac:dyDescent="0.2">
      <c r="A137" s="34"/>
      <c r="B137" s="37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</row>
    <row r="138" spans="1:17" s="31" customFormat="1" ht="12.75" x14ac:dyDescent="0.2">
      <c r="A138" s="34"/>
      <c r="B138" s="37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</row>
    <row r="139" spans="1:17" s="31" customFormat="1" ht="12.75" x14ac:dyDescent="0.2">
      <c r="A139" s="34"/>
      <c r="B139" s="37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</row>
    <row r="140" spans="1:17" s="31" customFormat="1" ht="12.75" x14ac:dyDescent="0.2">
      <c r="A140" s="34"/>
      <c r="B140" s="37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</row>
    <row r="141" spans="1:17" s="31" customFormat="1" ht="12.75" x14ac:dyDescent="0.2">
      <c r="A141" s="34"/>
      <c r="B141" s="37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</row>
    <row r="142" spans="1:17" s="31" customFormat="1" ht="12.75" x14ac:dyDescent="0.2">
      <c r="A142" s="34"/>
      <c r="B142" s="37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</row>
    <row r="143" spans="1:17" s="31" customFormat="1" ht="12.75" x14ac:dyDescent="0.2">
      <c r="A143" s="34"/>
      <c r="B143" s="37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</row>
    <row r="144" spans="1:17" s="31" customFormat="1" ht="12.75" x14ac:dyDescent="0.2">
      <c r="A144" s="34"/>
      <c r="B144" s="37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</row>
    <row r="145" spans="1:17" s="31" customFormat="1" ht="12.75" x14ac:dyDescent="0.2">
      <c r="A145" s="34"/>
      <c r="B145" s="37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</row>
    <row r="146" spans="1:17" s="31" customFormat="1" ht="12.75" x14ac:dyDescent="0.2">
      <c r="A146" s="34"/>
      <c r="B146" s="37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 spans="1:17" s="31" customFormat="1" ht="12.75" x14ac:dyDescent="0.2">
      <c r="A147" s="34"/>
      <c r="B147" s="37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</row>
    <row r="148" spans="1:17" s="31" customFormat="1" ht="12.75" x14ac:dyDescent="0.2">
      <c r="A148" s="34"/>
      <c r="B148" s="37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</row>
    <row r="149" spans="1:17" s="31" customFormat="1" ht="12.75" x14ac:dyDescent="0.2">
      <c r="A149" s="34"/>
      <c r="B149" s="37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</row>
    <row r="150" spans="1:17" s="31" customFormat="1" ht="12.75" x14ac:dyDescent="0.2">
      <c r="A150" s="34"/>
      <c r="B150" s="37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</row>
    <row r="151" spans="1:17" s="31" customFormat="1" ht="12.75" x14ac:dyDescent="0.2">
      <c r="A151" s="34"/>
      <c r="B151" s="37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</row>
    <row r="152" spans="1:17" s="31" customFormat="1" ht="12.75" x14ac:dyDescent="0.2">
      <c r="A152" s="34"/>
      <c r="B152" s="37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</row>
    <row r="153" spans="1:17" s="31" customFormat="1" ht="12.75" x14ac:dyDescent="0.2">
      <c r="A153" s="34"/>
      <c r="B153" s="37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</row>
    <row r="154" spans="1:17" s="31" customFormat="1" ht="12.75" x14ac:dyDescent="0.2">
      <c r="A154" s="34"/>
      <c r="B154" s="37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</row>
    <row r="155" spans="1:17" s="31" customFormat="1" ht="12.75" x14ac:dyDescent="0.2">
      <c r="A155" s="34"/>
      <c r="B155" s="37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</row>
    <row r="156" spans="1:17" s="31" customFormat="1" ht="12.75" x14ac:dyDescent="0.2">
      <c r="A156" s="34"/>
      <c r="B156" s="37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</row>
    <row r="157" spans="1:17" s="31" customFormat="1" ht="12.75" x14ac:dyDescent="0.2">
      <c r="A157" s="34"/>
      <c r="B157" s="37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</row>
    <row r="158" spans="1:17" s="31" customFormat="1" ht="12.75" x14ac:dyDescent="0.2">
      <c r="A158" s="34"/>
      <c r="B158" s="37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</row>
    <row r="159" spans="1:17" s="31" customFormat="1" ht="12.75" x14ac:dyDescent="0.2">
      <c r="A159" s="34"/>
      <c r="B159" s="37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</row>
    <row r="160" spans="1:17" s="31" customFormat="1" ht="12.75" x14ac:dyDescent="0.2">
      <c r="A160" s="34"/>
      <c r="B160" s="37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</row>
    <row r="161" spans="1:17" s="31" customFormat="1" ht="12.75" x14ac:dyDescent="0.2">
      <c r="A161" s="34"/>
      <c r="B161" s="37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</row>
    <row r="162" spans="1:17" s="31" customFormat="1" ht="12.75" x14ac:dyDescent="0.2">
      <c r="A162" s="34"/>
      <c r="B162" s="37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</row>
    <row r="163" spans="1:17" s="31" customFormat="1" ht="12.75" x14ac:dyDescent="0.2">
      <c r="A163" s="34"/>
      <c r="B163" s="37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</row>
    <row r="164" spans="1:17" s="31" customFormat="1" ht="12.75" x14ac:dyDescent="0.2">
      <c r="A164" s="34"/>
      <c r="B164" s="37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</row>
    <row r="165" spans="1:17" s="31" customFormat="1" ht="12.75" x14ac:dyDescent="0.2">
      <c r="A165" s="34"/>
      <c r="B165" s="37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</row>
    <row r="166" spans="1:17" s="31" customFormat="1" ht="12.75" x14ac:dyDescent="0.2">
      <c r="A166" s="34"/>
      <c r="B166" s="37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</row>
    <row r="167" spans="1:17" s="31" customFormat="1" ht="12.75" x14ac:dyDescent="0.2">
      <c r="A167" s="34"/>
      <c r="B167" s="37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</row>
    <row r="168" spans="1:17" s="31" customFormat="1" ht="12.75" x14ac:dyDescent="0.2">
      <c r="A168" s="34"/>
      <c r="B168" s="37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</row>
    <row r="169" spans="1:17" s="31" customFormat="1" ht="12.75" x14ac:dyDescent="0.2">
      <c r="A169" s="34"/>
      <c r="B169" s="37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</row>
    <row r="170" spans="1:17" s="31" customFormat="1" ht="12.75" x14ac:dyDescent="0.2">
      <c r="A170" s="34"/>
      <c r="B170" s="37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 spans="1:17" s="31" customFormat="1" ht="12.75" x14ac:dyDescent="0.2">
      <c r="A171" s="34"/>
      <c r="B171" s="37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</row>
    <row r="172" spans="1:17" s="31" customFormat="1" ht="12.75" x14ac:dyDescent="0.2">
      <c r="A172" s="34"/>
      <c r="B172" s="37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</row>
    <row r="173" spans="1:17" s="31" customFormat="1" ht="12.75" x14ac:dyDescent="0.2">
      <c r="A173" s="34"/>
      <c r="B173" s="37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</row>
    <row r="174" spans="1:17" s="31" customFormat="1" ht="12.75" x14ac:dyDescent="0.2">
      <c r="A174" s="34"/>
      <c r="B174" s="37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</row>
    <row r="175" spans="1:17" s="31" customFormat="1" ht="12.75" x14ac:dyDescent="0.2">
      <c r="A175" s="34"/>
      <c r="B175" s="37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</row>
    <row r="176" spans="1:17" s="31" customFormat="1" ht="12.75" x14ac:dyDescent="0.2">
      <c r="A176" s="34"/>
      <c r="B176" s="37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</row>
    <row r="177" spans="1:17" s="31" customFormat="1" ht="12.75" x14ac:dyDescent="0.2">
      <c r="A177" s="34"/>
      <c r="B177" s="37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</row>
    <row r="178" spans="1:17" s="31" customFormat="1" ht="12.75" x14ac:dyDescent="0.2">
      <c r="A178" s="34"/>
      <c r="B178" s="37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</row>
    <row r="179" spans="1:17" s="31" customFormat="1" ht="12.75" x14ac:dyDescent="0.2">
      <c r="A179" s="34"/>
      <c r="B179" s="37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</row>
    <row r="180" spans="1:17" s="31" customFormat="1" ht="12.75" x14ac:dyDescent="0.2">
      <c r="A180" s="34"/>
      <c r="B180" s="37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</row>
    <row r="181" spans="1:17" s="31" customFormat="1" ht="12.75" x14ac:dyDescent="0.2">
      <c r="A181" s="34"/>
      <c r="B181" s="37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</row>
    <row r="182" spans="1:17" s="31" customFormat="1" ht="12.75" x14ac:dyDescent="0.2">
      <c r="A182" s="34"/>
      <c r="B182" s="37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</row>
    <row r="183" spans="1:17" s="31" customFormat="1" ht="12.75" x14ac:dyDescent="0.2">
      <c r="A183" s="34"/>
      <c r="B183" s="37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</row>
    <row r="184" spans="1:17" s="31" customFormat="1" ht="12.75" x14ac:dyDescent="0.2">
      <c r="A184" s="34"/>
      <c r="B184" s="37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</row>
    <row r="185" spans="1:17" s="31" customFormat="1" ht="12.75" x14ac:dyDescent="0.2">
      <c r="A185" s="34"/>
      <c r="B185" s="37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</row>
    <row r="186" spans="1:17" s="31" customFormat="1" ht="12.75" x14ac:dyDescent="0.2">
      <c r="A186" s="34"/>
      <c r="B186" s="37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</row>
    <row r="187" spans="1:17" s="31" customFormat="1" ht="12.75" x14ac:dyDescent="0.2">
      <c r="A187" s="34"/>
      <c r="B187" s="37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</row>
    <row r="188" spans="1:17" s="31" customFormat="1" ht="12.75" x14ac:dyDescent="0.2">
      <c r="A188" s="34"/>
      <c r="B188" s="37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</row>
    <row r="189" spans="1:17" s="31" customFormat="1" ht="12.75" x14ac:dyDescent="0.2">
      <c r="A189" s="34"/>
      <c r="B189" s="37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</row>
    <row r="190" spans="1:17" s="31" customFormat="1" ht="12.75" x14ac:dyDescent="0.2">
      <c r="A190" s="34"/>
      <c r="B190" s="37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</row>
    <row r="191" spans="1:17" s="31" customFormat="1" ht="12.75" x14ac:dyDescent="0.2">
      <c r="A191" s="34"/>
      <c r="B191" s="37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</row>
    <row r="192" spans="1:17" s="31" customFormat="1" ht="12.75" x14ac:dyDescent="0.2">
      <c r="A192" s="34"/>
      <c r="B192" s="37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</row>
    <row r="193" spans="1:17" s="31" customFormat="1" ht="12.75" x14ac:dyDescent="0.2">
      <c r="A193" s="34"/>
      <c r="B193" s="37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</row>
    <row r="194" spans="1:17" s="31" customFormat="1" ht="12.75" x14ac:dyDescent="0.2">
      <c r="A194" s="34"/>
      <c r="B194" s="37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</row>
    <row r="195" spans="1:17" s="31" customFormat="1" ht="12.75" x14ac:dyDescent="0.2">
      <c r="A195" s="34"/>
      <c r="B195" s="37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 spans="1:17" s="31" customFormat="1" ht="12.75" x14ac:dyDescent="0.2">
      <c r="A196" s="34"/>
      <c r="B196" s="37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</row>
    <row r="197" spans="1:17" s="31" customFormat="1" ht="12.75" x14ac:dyDescent="0.2">
      <c r="A197" s="34"/>
      <c r="B197" s="37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</row>
    <row r="198" spans="1:17" s="31" customFormat="1" ht="12.75" x14ac:dyDescent="0.2">
      <c r="A198" s="34"/>
      <c r="B198" s="37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</row>
    <row r="199" spans="1:17" s="31" customFormat="1" ht="12.75" x14ac:dyDescent="0.2">
      <c r="A199" s="34"/>
      <c r="B199" s="37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</row>
    <row r="200" spans="1:17" s="31" customFormat="1" ht="12.75" x14ac:dyDescent="0.2">
      <c r="A200" s="34"/>
      <c r="B200" s="37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</row>
    <row r="201" spans="1:17" s="31" customFormat="1" ht="12.75" x14ac:dyDescent="0.2">
      <c r="A201" s="34"/>
      <c r="B201" s="37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</row>
    <row r="202" spans="1:17" s="31" customFormat="1" ht="12.75" x14ac:dyDescent="0.2">
      <c r="A202" s="34"/>
      <c r="B202" s="37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</row>
    <row r="203" spans="1:17" s="31" customFormat="1" ht="12.75" x14ac:dyDescent="0.2">
      <c r="A203" s="34"/>
      <c r="B203" s="37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</row>
    <row r="204" spans="1:17" s="31" customFormat="1" ht="12.75" x14ac:dyDescent="0.2">
      <c r="A204" s="34"/>
      <c r="B204" s="37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</row>
    <row r="205" spans="1:17" s="31" customFormat="1" ht="12.75" x14ac:dyDescent="0.2">
      <c r="A205" s="34"/>
      <c r="B205" s="37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</row>
    <row r="206" spans="1:17" s="31" customFormat="1" ht="12.75" x14ac:dyDescent="0.2">
      <c r="A206" s="34"/>
      <c r="B206" s="37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</row>
    <row r="207" spans="1:17" s="31" customFormat="1" ht="12.75" x14ac:dyDescent="0.2">
      <c r="A207" s="34"/>
      <c r="B207" s="37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</row>
    <row r="208" spans="1:17" s="31" customFormat="1" ht="12.75" x14ac:dyDescent="0.2">
      <c r="A208" s="34"/>
      <c r="B208" s="37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</row>
    <row r="209" spans="1:17" s="31" customFormat="1" ht="12.75" x14ac:dyDescent="0.2">
      <c r="A209" s="34"/>
      <c r="B209" s="37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</row>
    <row r="210" spans="1:17" s="31" customFormat="1" ht="12.75" x14ac:dyDescent="0.2">
      <c r="A210" s="34"/>
      <c r="B210" s="37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</row>
    <row r="211" spans="1:17" s="31" customFormat="1" ht="12.75" x14ac:dyDescent="0.2">
      <c r="A211" s="34"/>
      <c r="B211" s="37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</row>
    <row r="212" spans="1:17" s="31" customFormat="1" ht="12.75" x14ac:dyDescent="0.2">
      <c r="A212" s="34"/>
      <c r="B212" s="37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</row>
    <row r="213" spans="1:17" s="31" customFormat="1" ht="12.75" x14ac:dyDescent="0.2">
      <c r="A213" s="34"/>
      <c r="B213" s="37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</row>
    <row r="214" spans="1:17" s="31" customFormat="1" ht="12.75" x14ac:dyDescent="0.2">
      <c r="A214" s="34"/>
      <c r="B214" s="37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</row>
    <row r="215" spans="1:17" s="31" customFormat="1" ht="12.75" x14ac:dyDescent="0.2">
      <c r="A215" s="34"/>
      <c r="B215" s="37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</row>
    <row r="216" spans="1:17" s="31" customFormat="1" ht="12.75" x14ac:dyDescent="0.2">
      <c r="A216" s="34"/>
      <c r="B216" s="37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</row>
    <row r="217" spans="1:17" s="31" customFormat="1" ht="12.75" x14ac:dyDescent="0.2">
      <c r="A217" s="34"/>
      <c r="B217" s="37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</row>
    <row r="218" spans="1:17" ht="12.75" x14ac:dyDescent="0.2">
      <c r="A218" s="34"/>
      <c r="B218" s="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2.75" x14ac:dyDescent="0.2">
      <c r="A219" s="34"/>
      <c r="B219" s="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2.75" x14ac:dyDescent="0.2">
      <c r="A220" s="34"/>
      <c r="B220" s="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2.75" x14ac:dyDescent="0.2">
      <c r="A221" s="34"/>
      <c r="B221" s="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2.75" x14ac:dyDescent="0.2">
      <c r="A222" s="34"/>
      <c r="B222" s="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2.75" x14ac:dyDescent="0.2">
      <c r="A223" s="34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2.75" x14ac:dyDescent="0.2">
      <c r="A224" s="34"/>
      <c r="B224" s="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2.75" x14ac:dyDescent="0.2">
      <c r="A225" s="34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2.75" x14ac:dyDescent="0.2">
      <c r="A226" s="34"/>
      <c r="B226" s="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2.75" x14ac:dyDescent="0.2">
      <c r="A227" s="34"/>
      <c r="B227" s="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2.75" x14ac:dyDescent="0.2">
      <c r="A228" s="34"/>
      <c r="B228" s="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2.75" x14ac:dyDescent="0.2">
      <c r="A229" s="34"/>
      <c r="B229" s="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2.75" x14ac:dyDescent="0.2">
      <c r="A230" s="34"/>
      <c r="B230" s="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2.75" x14ac:dyDescent="0.2">
      <c r="A231" s="34"/>
      <c r="B231" s="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2.75" x14ac:dyDescent="0.2">
      <c r="A232" s="34"/>
      <c r="B232" s="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2.75" x14ac:dyDescent="0.2">
      <c r="A233" s="34"/>
      <c r="B233" s="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2.75" x14ac:dyDescent="0.2">
      <c r="A234" s="34"/>
      <c r="B234" s="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2.75" x14ac:dyDescent="0.2">
      <c r="A235" s="34"/>
      <c r="B235" s="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2.75" x14ac:dyDescent="0.2">
      <c r="A236" s="34"/>
      <c r="B236" s="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2.75" x14ac:dyDescent="0.2">
      <c r="A237" s="34"/>
      <c r="B237" s="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2.75" x14ac:dyDescent="0.2">
      <c r="A238" s="34"/>
      <c r="B238" s="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2.75" x14ac:dyDescent="0.2">
      <c r="A239" s="34"/>
      <c r="B239" s="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2.75" x14ac:dyDescent="0.2">
      <c r="A240" s="34"/>
      <c r="B240" s="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2.75" x14ac:dyDescent="0.2">
      <c r="A241" s="34"/>
      <c r="B241" s="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2.75" x14ac:dyDescent="0.2">
      <c r="A242" s="34"/>
      <c r="B242" s="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2.75" x14ac:dyDescent="0.2">
      <c r="A243" s="34"/>
      <c r="B243" s="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2.75" x14ac:dyDescent="0.2">
      <c r="A244" s="34"/>
      <c r="B244" s="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2.75" x14ac:dyDescent="0.2">
      <c r="A245" s="34"/>
      <c r="B245" s="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2.75" x14ac:dyDescent="0.2">
      <c r="A246" s="34"/>
      <c r="B246" s="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2.75" x14ac:dyDescent="0.2">
      <c r="A247" s="34"/>
      <c r="B247" s="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2.75" x14ac:dyDescent="0.2">
      <c r="A248" s="34"/>
      <c r="B248" s="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2.75" x14ac:dyDescent="0.2">
      <c r="A249" s="34"/>
      <c r="B249" s="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2.75" x14ac:dyDescent="0.2">
      <c r="A250" s="34"/>
      <c r="B250" s="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2.75" x14ac:dyDescent="0.2">
      <c r="A251" s="34"/>
      <c r="B251" s="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2.75" x14ac:dyDescent="0.2">
      <c r="A252" s="34"/>
      <c r="B252" s="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2.75" x14ac:dyDescent="0.2">
      <c r="A253" s="34"/>
      <c r="B253" s="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2.75" x14ac:dyDescent="0.2">
      <c r="A254" s="34"/>
      <c r="B254" s="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2.75" x14ac:dyDescent="0.2">
      <c r="A255" s="34"/>
      <c r="B255" s="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2.75" x14ac:dyDescent="0.2">
      <c r="A256" s="34"/>
      <c r="B256" s="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2.75" x14ac:dyDescent="0.2">
      <c r="A257" s="34"/>
      <c r="B257" s="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2.75" x14ac:dyDescent="0.2">
      <c r="A258" s="34"/>
      <c r="B258" s="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2.75" x14ac:dyDescent="0.2">
      <c r="A259" s="34"/>
      <c r="B259" s="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2.75" x14ac:dyDescent="0.2">
      <c r="A260" s="34"/>
      <c r="B260" s="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2.75" x14ac:dyDescent="0.2">
      <c r="A261" s="34"/>
      <c r="B261" s="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2.75" x14ac:dyDescent="0.2">
      <c r="A262" s="34"/>
      <c r="B262" s="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2.75" x14ac:dyDescent="0.2">
      <c r="A263" s="34"/>
      <c r="B263" s="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2.75" x14ac:dyDescent="0.2">
      <c r="A264" s="34"/>
      <c r="B264" s="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2.75" x14ac:dyDescent="0.2">
      <c r="A265" s="34"/>
      <c r="B265" s="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2.75" x14ac:dyDescent="0.2">
      <c r="A266" s="34"/>
      <c r="B266" s="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2.75" x14ac:dyDescent="0.2">
      <c r="A267" s="34"/>
      <c r="B267" s="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2.75" x14ac:dyDescent="0.2">
      <c r="A268" s="34"/>
      <c r="B268" s="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2.75" x14ac:dyDescent="0.2">
      <c r="A269" s="34"/>
      <c r="B269" s="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2.75" x14ac:dyDescent="0.2">
      <c r="A270" s="34"/>
      <c r="B270" s="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2.75" x14ac:dyDescent="0.2">
      <c r="A271" s="34"/>
      <c r="B271" s="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2.75" x14ac:dyDescent="0.2">
      <c r="A272" s="34"/>
      <c r="B272" s="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2.75" x14ac:dyDescent="0.2">
      <c r="A273" s="34"/>
      <c r="B273" s="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2.75" x14ac:dyDescent="0.2">
      <c r="A274" s="34"/>
      <c r="B274" s="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2.75" x14ac:dyDescent="0.2">
      <c r="A275" s="34"/>
      <c r="B275" s="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2.75" x14ac:dyDescent="0.2">
      <c r="A276" s="34"/>
      <c r="B276" s="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2.75" x14ac:dyDescent="0.2">
      <c r="A277" s="34"/>
      <c r="B277" s="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2.75" x14ac:dyDescent="0.2">
      <c r="A278" s="34"/>
      <c r="B278" s="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2.75" x14ac:dyDescent="0.2">
      <c r="A279" s="34"/>
      <c r="B279" s="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2.75" x14ac:dyDescent="0.2">
      <c r="A280" s="34"/>
      <c r="B280" s="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2.75" x14ac:dyDescent="0.2">
      <c r="A281" s="34"/>
      <c r="B281" s="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2.75" x14ac:dyDescent="0.2">
      <c r="A282" s="34"/>
      <c r="B282" s="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2.75" x14ac:dyDescent="0.2">
      <c r="A283" s="34"/>
      <c r="B283" s="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2.75" x14ac:dyDescent="0.2">
      <c r="A284" s="34"/>
      <c r="B284" s="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2.75" x14ac:dyDescent="0.2">
      <c r="A285" s="34"/>
      <c r="B285" s="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2.75" x14ac:dyDescent="0.2">
      <c r="A286" s="34"/>
      <c r="B286" s="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2.75" x14ac:dyDescent="0.2">
      <c r="A287" s="34"/>
      <c r="B287" s="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2.75" x14ac:dyDescent="0.2">
      <c r="A288" s="34"/>
      <c r="B288" s="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2.75" x14ac:dyDescent="0.2">
      <c r="A289" s="34"/>
      <c r="B289" s="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2.75" x14ac:dyDescent="0.2">
      <c r="A290" s="34"/>
      <c r="B290" s="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2.75" x14ac:dyDescent="0.2">
      <c r="A291" s="34"/>
      <c r="B291" s="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2.75" x14ac:dyDescent="0.2">
      <c r="A292" s="34"/>
      <c r="B292" s="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2.75" x14ac:dyDescent="0.2">
      <c r="A293" s="34"/>
      <c r="B293" s="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2.75" x14ac:dyDescent="0.2">
      <c r="A294" s="34"/>
      <c r="B294" s="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2.75" x14ac:dyDescent="0.2">
      <c r="A295" s="34"/>
      <c r="B295" s="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2.75" x14ac:dyDescent="0.2">
      <c r="A296" s="34"/>
      <c r="B296" s="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2.75" x14ac:dyDescent="0.2">
      <c r="A297" s="34"/>
      <c r="B297" s="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2.75" x14ac:dyDescent="0.2">
      <c r="A298" s="34"/>
      <c r="B298" s="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2.75" x14ac:dyDescent="0.2">
      <c r="A299" s="34"/>
      <c r="B299" s="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2.75" x14ac:dyDescent="0.2">
      <c r="A300" s="34"/>
      <c r="B300" s="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2.75" x14ac:dyDescent="0.2">
      <c r="A301" s="34"/>
      <c r="B301" s="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2.75" x14ac:dyDescent="0.2">
      <c r="A302" s="34"/>
      <c r="B302" s="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2.75" x14ac:dyDescent="0.2">
      <c r="A303" s="34"/>
      <c r="B303" s="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2.75" x14ac:dyDescent="0.2">
      <c r="A304" s="34"/>
      <c r="B304" s="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2.75" x14ac:dyDescent="0.2">
      <c r="A305" s="34"/>
      <c r="B305" s="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2.75" x14ac:dyDescent="0.2">
      <c r="A306" s="34"/>
      <c r="B306" s="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2.75" x14ac:dyDescent="0.2">
      <c r="A307" s="34"/>
      <c r="B307" s="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2.75" x14ac:dyDescent="0.2">
      <c r="A308" s="34"/>
      <c r="B308" s="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2.75" x14ac:dyDescent="0.2">
      <c r="A309" s="34"/>
      <c r="B309" s="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2.75" x14ac:dyDescent="0.2">
      <c r="A310" s="34"/>
      <c r="B310" s="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2.75" x14ac:dyDescent="0.2">
      <c r="A311" s="34"/>
      <c r="B311" s="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2.75" x14ac:dyDescent="0.2">
      <c r="A312" s="34"/>
      <c r="B312" s="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2.75" x14ac:dyDescent="0.2">
      <c r="A313" s="34"/>
      <c r="B313" s="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2.75" x14ac:dyDescent="0.2">
      <c r="A314" s="34"/>
      <c r="B314" s="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2.75" x14ac:dyDescent="0.2">
      <c r="A315" s="34"/>
      <c r="B315" s="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2.75" x14ac:dyDescent="0.2">
      <c r="A316" s="34"/>
      <c r="B316" s="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2.75" x14ac:dyDescent="0.2">
      <c r="A317" s="34"/>
      <c r="B317" s="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2.75" x14ac:dyDescent="0.2">
      <c r="A318" s="34"/>
      <c r="B318" s="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2.75" x14ac:dyDescent="0.2">
      <c r="A319" s="34"/>
      <c r="B319" s="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2.75" x14ac:dyDescent="0.2">
      <c r="A320" s="34"/>
      <c r="B320" s="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2.75" x14ac:dyDescent="0.2">
      <c r="A321" s="34"/>
      <c r="B321" s="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2.75" x14ac:dyDescent="0.2">
      <c r="A322" s="34"/>
      <c r="B322" s="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2.75" x14ac:dyDescent="0.2">
      <c r="A323" s="34"/>
      <c r="B323" s="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2.75" x14ac:dyDescent="0.2">
      <c r="A324" s="34"/>
      <c r="B324" s="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2.75" x14ac:dyDescent="0.2">
      <c r="A325" s="34"/>
      <c r="B325" s="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2.75" x14ac:dyDescent="0.2">
      <c r="A326" s="34"/>
      <c r="B326" s="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2.75" x14ac:dyDescent="0.2">
      <c r="A327" s="34"/>
      <c r="B327" s="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2.75" x14ac:dyDescent="0.2">
      <c r="A328" s="34"/>
      <c r="B328" s="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2.75" x14ac:dyDescent="0.2">
      <c r="A329" s="34"/>
      <c r="B329" s="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2.75" x14ac:dyDescent="0.2">
      <c r="A330" s="34"/>
      <c r="B330" s="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2.75" x14ac:dyDescent="0.2">
      <c r="A331" s="34"/>
      <c r="B331" s="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2.75" x14ac:dyDescent="0.2">
      <c r="A332" s="34"/>
      <c r="B332" s="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2.75" x14ac:dyDescent="0.2">
      <c r="A333" s="34"/>
      <c r="B333" s="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2.75" x14ac:dyDescent="0.2">
      <c r="A334" s="34"/>
      <c r="B334" s="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2.75" x14ac:dyDescent="0.2">
      <c r="A335" s="34"/>
      <c r="B335" s="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2.75" x14ac:dyDescent="0.2">
      <c r="A336" s="34"/>
      <c r="B336" s="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2.75" x14ac:dyDescent="0.2">
      <c r="A337" s="34"/>
      <c r="B337" s="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2.75" x14ac:dyDescent="0.2">
      <c r="A338" s="34"/>
      <c r="B338" s="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2.75" x14ac:dyDescent="0.2">
      <c r="A339" s="34"/>
      <c r="B339" s="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2.75" x14ac:dyDescent="0.2">
      <c r="A340" s="34"/>
      <c r="B340" s="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2.75" x14ac:dyDescent="0.2">
      <c r="A341" s="34"/>
      <c r="B341" s="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2.75" x14ac:dyDescent="0.2">
      <c r="A342" s="34"/>
      <c r="B342" s="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2.75" x14ac:dyDescent="0.2">
      <c r="A343" s="34"/>
      <c r="B343" s="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2.75" x14ac:dyDescent="0.2">
      <c r="A344" s="34"/>
      <c r="B344" s="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2.75" x14ac:dyDescent="0.2">
      <c r="A345" s="34"/>
      <c r="B345" s="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2.75" x14ac:dyDescent="0.2">
      <c r="A346" s="34"/>
      <c r="B346" s="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2.75" x14ac:dyDescent="0.2">
      <c r="A347" s="34"/>
      <c r="B347" s="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2.75" x14ac:dyDescent="0.2">
      <c r="A348" s="34"/>
      <c r="B348" s="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2.75" x14ac:dyDescent="0.2">
      <c r="A349" s="34"/>
      <c r="B349" s="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2.75" x14ac:dyDescent="0.2">
      <c r="A350" s="34"/>
      <c r="B350" s="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2.75" x14ac:dyDescent="0.2">
      <c r="A351" s="34"/>
      <c r="B351" s="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2.75" x14ac:dyDescent="0.2">
      <c r="A352" s="34"/>
      <c r="B352" s="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2.75" x14ac:dyDescent="0.2">
      <c r="A353" s="34"/>
      <c r="B353" s="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2.75" x14ac:dyDescent="0.2">
      <c r="A354" s="34"/>
      <c r="B354" s="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2.75" x14ac:dyDescent="0.2">
      <c r="A355" s="34"/>
      <c r="B355" s="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2.75" x14ac:dyDescent="0.2">
      <c r="A356" s="34"/>
      <c r="B356" s="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2.75" x14ac:dyDescent="0.2">
      <c r="A357" s="34"/>
      <c r="B357" s="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2.75" x14ac:dyDescent="0.2">
      <c r="A358" s="34"/>
      <c r="B358" s="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2.75" x14ac:dyDescent="0.2">
      <c r="A359" s="34"/>
      <c r="B359" s="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2.75" x14ac:dyDescent="0.2">
      <c r="A360" s="34"/>
      <c r="B360" s="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2.75" x14ac:dyDescent="0.2">
      <c r="A361" s="34"/>
      <c r="B361" s="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2.75" x14ac:dyDescent="0.2">
      <c r="A362" s="34"/>
      <c r="B362" s="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2.75" x14ac:dyDescent="0.2">
      <c r="A363" s="34"/>
      <c r="B363" s="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2.75" x14ac:dyDescent="0.2">
      <c r="A364" s="34"/>
      <c r="B364" s="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2.75" x14ac:dyDescent="0.2">
      <c r="A365" s="34"/>
      <c r="B365" s="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2.75" x14ac:dyDescent="0.2">
      <c r="A366" s="34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2.75" x14ac:dyDescent="0.2">
      <c r="A367" s="34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2.75" x14ac:dyDescent="0.2">
      <c r="A368" s="34"/>
      <c r="B368" s="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2.75" x14ac:dyDescent="0.2">
      <c r="A369" s="34"/>
      <c r="B369" s="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2.75" x14ac:dyDescent="0.2">
      <c r="A370" s="34"/>
      <c r="B370" s="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2.75" x14ac:dyDescent="0.2">
      <c r="A371" s="34"/>
      <c r="B371" s="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2.75" x14ac:dyDescent="0.2">
      <c r="A372" s="34"/>
      <c r="B372" s="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2.75" x14ac:dyDescent="0.2">
      <c r="A373" s="34"/>
      <c r="B373" s="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2.75" x14ac:dyDescent="0.2">
      <c r="A374" s="34"/>
      <c r="B374" s="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2.75" x14ac:dyDescent="0.2">
      <c r="A375" s="34"/>
      <c r="B375" s="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2.75" x14ac:dyDescent="0.2">
      <c r="A376" s="34"/>
      <c r="B376" s="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2.75" x14ac:dyDescent="0.2">
      <c r="A377" s="34"/>
      <c r="B377" s="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2.75" x14ac:dyDescent="0.2">
      <c r="A378" s="34"/>
      <c r="B378" s="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2.75" x14ac:dyDescent="0.2">
      <c r="A379" s="34"/>
      <c r="B379" s="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2.75" x14ac:dyDescent="0.2">
      <c r="A380" s="34"/>
      <c r="B380" s="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2.75" x14ac:dyDescent="0.2">
      <c r="A381" s="34"/>
      <c r="B381" s="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2.75" x14ac:dyDescent="0.2">
      <c r="A382" s="34"/>
      <c r="B382" s="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2.75" x14ac:dyDescent="0.2">
      <c r="A383" s="34"/>
      <c r="B383" s="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2.75" x14ac:dyDescent="0.2">
      <c r="A384" s="34"/>
      <c r="B384" s="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2.75" x14ac:dyDescent="0.2">
      <c r="A385" s="34"/>
      <c r="B385" s="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2.75" x14ac:dyDescent="0.2">
      <c r="A386" s="34"/>
      <c r="B386" s="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2.75" x14ac:dyDescent="0.2">
      <c r="A387" s="34"/>
      <c r="B387" s="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2.75" x14ac:dyDescent="0.2">
      <c r="A388" s="34"/>
      <c r="B388" s="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2.75" x14ac:dyDescent="0.2">
      <c r="A389" s="34"/>
      <c r="B389" s="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2.75" x14ac:dyDescent="0.2">
      <c r="A390" s="34"/>
      <c r="B390" s="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2.75" x14ac:dyDescent="0.2">
      <c r="A391" s="34"/>
      <c r="B391" s="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2.75" x14ac:dyDescent="0.2">
      <c r="A392" s="34"/>
      <c r="B392" s="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2.75" x14ac:dyDescent="0.2">
      <c r="A393" s="34"/>
      <c r="B393" s="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2.75" x14ac:dyDescent="0.2">
      <c r="A394" s="34"/>
      <c r="B394" s="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2.75" x14ac:dyDescent="0.2">
      <c r="A395" s="34"/>
      <c r="B395" s="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2.75" x14ac:dyDescent="0.2">
      <c r="A396" s="34"/>
      <c r="B396" s="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2.75" x14ac:dyDescent="0.2">
      <c r="A397" s="34"/>
      <c r="B397" s="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2.75" x14ac:dyDescent="0.2">
      <c r="A398" s="34"/>
      <c r="B398" s="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2.75" x14ac:dyDescent="0.2">
      <c r="A399" s="34"/>
      <c r="B399" s="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2.75" x14ac:dyDescent="0.2">
      <c r="A400" s="34"/>
      <c r="B400" s="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2.75" x14ac:dyDescent="0.2">
      <c r="A401" s="34"/>
      <c r="B401" s="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2.75" x14ac:dyDescent="0.2">
      <c r="A402" s="34"/>
      <c r="B402" s="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2.75" x14ac:dyDescent="0.2">
      <c r="A403" s="34"/>
      <c r="B403" s="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2.75" x14ac:dyDescent="0.2">
      <c r="A404" s="34"/>
      <c r="B404" s="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2.75" x14ac:dyDescent="0.2">
      <c r="A405" s="34"/>
      <c r="B405" s="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2.75" x14ac:dyDescent="0.2">
      <c r="A406" s="34"/>
      <c r="B406" s="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2.75" x14ac:dyDescent="0.2">
      <c r="A407" s="34"/>
      <c r="B407" s="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2.75" x14ac:dyDescent="0.2">
      <c r="A408" s="34"/>
      <c r="B408" s="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2.75" x14ac:dyDescent="0.2">
      <c r="A409" s="34"/>
      <c r="B409" s="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2.75" x14ac:dyDescent="0.2">
      <c r="A410" s="34"/>
      <c r="B410" s="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2.75" x14ac:dyDescent="0.2">
      <c r="A411" s="34"/>
      <c r="B411" s="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2.75" x14ac:dyDescent="0.2">
      <c r="A412" s="34"/>
      <c r="B412" s="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2.75" x14ac:dyDescent="0.2">
      <c r="A413" s="34"/>
      <c r="B413" s="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2.75" x14ac:dyDescent="0.2">
      <c r="A414" s="34"/>
      <c r="B414" s="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2.75" x14ac:dyDescent="0.2">
      <c r="A415" s="34"/>
      <c r="B415" s="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2.75" x14ac:dyDescent="0.2">
      <c r="A416" s="34"/>
      <c r="B416" s="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2.75" x14ac:dyDescent="0.2">
      <c r="A417" s="34"/>
      <c r="B417" s="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2.75" x14ac:dyDescent="0.2">
      <c r="A418" s="34"/>
      <c r="B418" s="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2.75" x14ac:dyDescent="0.2">
      <c r="A419" s="34"/>
      <c r="B419" s="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2.75" x14ac:dyDescent="0.2">
      <c r="A420" s="34"/>
      <c r="B420" s="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2.75" x14ac:dyDescent="0.2">
      <c r="A421" s="34"/>
      <c r="B421" s="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2.75" x14ac:dyDescent="0.2">
      <c r="A422" s="34"/>
      <c r="B422" s="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2.75" x14ac:dyDescent="0.2">
      <c r="A423" s="34"/>
      <c r="B423" s="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2.75" x14ac:dyDescent="0.2">
      <c r="A424" s="34"/>
      <c r="B424" s="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2.75" x14ac:dyDescent="0.2">
      <c r="A425" s="34"/>
      <c r="B425" s="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2.75" x14ac:dyDescent="0.2">
      <c r="A426" s="34"/>
      <c r="B426" s="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2.75" x14ac:dyDescent="0.2">
      <c r="A427" s="34"/>
      <c r="B427" s="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2.75" x14ac:dyDescent="0.2">
      <c r="A428" s="34"/>
      <c r="B428" s="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2.75" x14ac:dyDescent="0.2">
      <c r="A429" s="34"/>
      <c r="B429" s="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2.75" x14ac:dyDescent="0.2">
      <c r="A430" s="34"/>
      <c r="B430" s="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2.75" x14ac:dyDescent="0.2">
      <c r="A431" s="34"/>
      <c r="B431" s="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2.75" x14ac:dyDescent="0.2">
      <c r="A432" s="34"/>
      <c r="B432" s="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2.75" x14ac:dyDescent="0.2">
      <c r="A433" s="34"/>
      <c r="B433" s="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2.75" x14ac:dyDescent="0.2">
      <c r="A434" s="34"/>
      <c r="B434" s="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2.75" x14ac:dyDescent="0.2">
      <c r="A435" s="34"/>
      <c r="B435" s="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2.75" x14ac:dyDescent="0.2">
      <c r="A436" s="34"/>
      <c r="B436" s="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2.75" x14ac:dyDescent="0.2">
      <c r="A437" s="34"/>
      <c r="B437" s="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2.75" x14ac:dyDescent="0.2">
      <c r="A438" s="34"/>
      <c r="B438" s="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2.75" x14ac:dyDescent="0.2">
      <c r="A439" s="34"/>
      <c r="B439" s="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2.75" x14ac:dyDescent="0.2">
      <c r="A440" s="34"/>
      <c r="B440" s="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2.75" x14ac:dyDescent="0.2">
      <c r="A441" s="34"/>
      <c r="B441" s="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2.75" x14ac:dyDescent="0.2">
      <c r="A442" s="34"/>
      <c r="B442" s="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2.75" x14ac:dyDescent="0.2">
      <c r="A443" s="34"/>
      <c r="B443" s="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2.75" x14ac:dyDescent="0.2">
      <c r="A444" s="34"/>
      <c r="B444" s="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2.75" x14ac:dyDescent="0.2">
      <c r="A445" s="34"/>
      <c r="B445" s="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2.75" x14ac:dyDescent="0.2">
      <c r="A446" s="34"/>
      <c r="B446" s="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2.75" x14ac:dyDescent="0.2">
      <c r="A447" s="34"/>
      <c r="B447" s="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2.75" x14ac:dyDescent="0.2">
      <c r="A448" s="34"/>
      <c r="B448" s="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2.75" x14ac:dyDescent="0.2">
      <c r="A449" s="34"/>
      <c r="B449" s="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2.75" x14ac:dyDescent="0.2">
      <c r="A450" s="34"/>
      <c r="B450" s="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2.75" x14ac:dyDescent="0.2">
      <c r="A451" s="34"/>
      <c r="B451" s="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2.75" x14ac:dyDescent="0.2">
      <c r="A452" s="34"/>
      <c r="B452" s="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2.75" x14ac:dyDescent="0.2">
      <c r="A453" s="34"/>
      <c r="B453" s="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2.75" x14ac:dyDescent="0.2">
      <c r="A454" s="34"/>
      <c r="B454" s="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2.75" x14ac:dyDescent="0.2">
      <c r="A455" s="34"/>
      <c r="B455" s="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2.75" x14ac:dyDescent="0.2">
      <c r="A456" s="34"/>
      <c r="B456" s="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2.75" x14ac:dyDescent="0.2">
      <c r="A457" s="34"/>
      <c r="B457" s="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2.75" x14ac:dyDescent="0.2">
      <c r="A458" s="34"/>
      <c r="B458" s="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2.75" x14ac:dyDescent="0.2">
      <c r="A459" s="34"/>
      <c r="B459" s="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2.75" x14ac:dyDescent="0.2">
      <c r="A460" s="34"/>
      <c r="B460" s="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2.75" x14ac:dyDescent="0.2">
      <c r="A461" s="34"/>
      <c r="B461" s="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2.75" x14ac:dyDescent="0.2">
      <c r="A462" s="34"/>
      <c r="B462" s="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2.75" x14ac:dyDescent="0.2">
      <c r="A463" s="34"/>
      <c r="B463" s="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2.75" x14ac:dyDescent="0.2">
      <c r="A464" s="34"/>
      <c r="B464" s="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2.75" x14ac:dyDescent="0.2">
      <c r="A465" s="34"/>
      <c r="B465" s="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2.75" x14ac:dyDescent="0.2">
      <c r="A466" s="34"/>
      <c r="B466" s="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2.75" x14ac:dyDescent="0.2">
      <c r="A467" s="34"/>
      <c r="B467" s="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2.75" x14ac:dyDescent="0.2">
      <c r="A468" s="34"/>
      <c r="B468" s="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2.75" x14ac:dyDescent="0.2">
      <c r="A469" s="34"/>
      <c r="B469" s="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2.75" x14ac:dyDescent="0.2">
      <c r="A470" s="34"/>
      <c r="B470" s="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2.75" x14ac:dyDescent="0.2">
      <c r="A471" s="34"/>
      <c r="B471" s="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2.75" x14ac:dyDescent="0.2">
      <c r="A472" s="34"/>
      <c r="B472" s="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2.75" x14ac:dyDescent="0.2">
      <c r="A473" s="34"/>
      <c r="B473" s="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2.75" x14ac:dyDescent="0.2">
      <c r="A474" s="34"/>
      <c r="B474" s="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2.75" x14ac:dyDescent="0.2">
      <c r="A475" s="34"/>
      <c r="B475" s="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2.75" x14ac:dyDescent="0.2">
      <c r="A476" s="34"/>
      <c r="B476" s="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2.75" x14ac:dyDescent="0.2">
      <c r="A477" s="34"/>
      <c r="B477" s="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2.75" x14ac:dyDescent="0.2">
      <c r="A478" s="34"/>
      <c r="B478" s="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2.75" x14ac:dyDescent="0.2">
      <c r="A479" s="34"/>
      <c r="B479" s="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2.75" x14ac:dyDescent="0.2">
      <c r="A480" s="34"/>
      <c r="B480" s="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2.75" x14ac:dyDescent="0.2">
      <c r="A481" s="34"/>
      <c r="B481" s="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2.75" x14ac:dyDescent="0.2">
      <c r="A482" s="34"/>
      <c r="B482" s="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2.75" x14ac:dyDescent="0.2">
      <c r="A483" s="34"/>
      <c r="B483" s="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2.75" x14ac:dyDescent="0.2">
      <c r="A484" s="34"/>
      <c r="B484" s="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2.75" x14ac:dyDescent="0.2">
      <c r="A485" s="34"/>
      <c r="B485" s="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2.75" x14ac:dyDescent="0.2">
      <c r="A486" s="34"/>
      <c r="B486" s="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2.75" x14ac:dyDescent="0.2">
      <c r="A487" s="34"/>
      <c r="B487" s="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2.75" x14ac:dyDescent="0.2">
      <c r="A488" s="34"/>
      <c r="B488" s="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2.75" x14ac:dyDescent="0.2">
      <c r="A489" s="34"/>
      <c r="B489" s="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2.75" x14ac:dyDescent="0.2">
      <c r="A490" s="34"/>
      <c r="B490" s="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2.75" x14ac:dyDescent="0.2">
      <c r="A491" s="34"/>
      <c r="B491" s="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2.75" x14ac:dyDescent="0.2">
      <c r="A492" s="34"/>
      <c r="B492" s="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2.75" x14ac:dyDescent="0.2">
      <c r="A493" s="34"/>
      <c r="B493" s="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2.75" x14ac:dyDescent="0.2">
      <c r="A494" s="34"/>
      <c r="B494" s="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2.75" x14ac:dyDescent="0.2">
      <c r="A495" s="34"/>
      <c r="B495" s="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2.75" x14ac:dyDescent="0.2">
      <c r="A496" s="34"/>
      <c r="B496" s="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2.75" x14ac:dyDescent="0.2">
      <c r="A497" s="34"/>
      <c r="B497" s="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2.75" x14ac:dyDescent="0.2">
      <c r="A498" s="34"/>
      <c r="B498" s="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2.75" x14ac:dyDescent="0.2">
      <c r="A499" s="34"/>
      <c r="B499" s="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2.75" x14ac:dyDescent="0.2">
      <c r="A500" s="34"/>
      <c r="B500" s="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2.75" x14ac:dyDescent="0.2">
      <c r="A501" s="34"/>
      <c r="B501" s="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2.75" x14ac:dyDescent="0.2">
      <c r="A502" s="34"/>
      <c r="B502" s="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2.75" x14ac:dyDescent="0.2">
      <c r="A503" s="34"/>
      <c r="B503" s="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2.75" x14ac:dyDescent="0.2">
      <c r="A504" s="34"/>
      <c r="B504" s="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2.75" x14ac:dyDescent="0.2">
      <c r="A505" s="34"/>
      <c r="B505" s="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2.75" x14ac:dyDescent="0.2">
      <c r="A506" s="34"/>
      <c r="B506" s="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2.75" x14ac:dyDescent="0.2">
      <c r="A507" s="34"/>
      <c r="B507" s="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2.75" x14ac:dyDescent="0.2">
      <c r="A508" s="34"/>
      <c r="B508" s="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2.75" x14ac:dyDescent="0.2">
      <c r="A509" s="34"/>
      <c r="B509" s="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2.75" x14ac:dyDescent="0.2">
      <c r="A510" s="34"/>
      <c r="B510" s="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2.75" x14ac:dyDescent="0.2">
      <c r="A511" s="34"/>
      <c r="B511" s="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2.75" x14ac:dyDescent="0.2">
      <c r="A512" s="34"/>
      <c r="B512" s="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2.75" x14ac:dyDescent="0.2">
      <c r="A513" s="34"/>
      <c r="B513" s="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2.75" x14ac:dyDescent="0.2">
      <c r="A514" s="34"/>
      <c r="B514" s="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2.75" x14ac:dyDescent="0.2">
      <c r="A515" s="34"/>
      <c r="B515" s="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2.75" x14ac:dyDescent="0.2">
      <c r="A516" s="34"/>
      <c r="B516" s="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2.75" x14ac:dyDescent="0.2">
      <c r="A517" s="34"/>
      <c r="B517" s="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2.75" x14ac:dyDescent="0.2">
      <c r="A518" s="34"/>
      <c r="B518" s="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2.75" x14ac:dyDescent="0.2">
      <c r="A519" s="34"/>
      <c r="B519" s="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2.75" x14ac:dyDescent="0.2">
      <c r="A520" s="34"/>
      <c r="B520" s="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2.75" x14ac:dyDescent="0.2">
      <c r="A521" s="34"/>
      <c r="B521" s="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2.75" x14ac:dyDescent="0.2">
      <c r="A522" s="34"/>
      <c r="B522" s="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2.75" x14ac:dyDescent="0.2">
      <c r="A523" s="34"/>
      <c r="B523" s="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2.75" x14ac:dyDescent="0.2">
      <c r="A524" s="34"/>
      <c r="B524" s="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2.75" x14ac:dyDescent="0.2">
      <c r="A525" s="34"/>
      <c r="B525" s="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2.75" x14ac:dyDescent="0.2">
      <c r="A526" s="34"/>
      <c r="B526" s="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2.75" x14ac:dyDescent="0.2">
      <c r="A527" s="34"/>
      <c r="B527" s="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2.75" x14ac:dyDescent="0.2">
      <c r="A528" s="34"/>
      <c r="B528" s="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2.75" x14ac:dyDescent="0.2">
      <c r="A529" s="34"/>
      <c r="B529" s="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2.75" x14ac:dyDescent="0.2">
      <c r="A530" s="34"/>
      <c r="B530" s="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2.75" x14ac:dyDescent="0.2">
      <c r="A531" s="34"/>
      <c r="B531" s="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2.75" x14ac:dyDescent="0.2">
      <c r="A532" s="34"/>
      <c r="B532" s="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2.75" x14ac:dyDescent="0.2">
      <c r="A533" s="34"/>
      <c r="B533" s="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2.75" x14ac:dyDescent="0.2">
      <c r="A534" s="34"/>
      <c r="B534" s="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2.75" x14ac:dyDescent="0.2">
      <c r="A535" s="34"/>
      <c r="B535" s="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2.75" x14ac:dyDescent="0.2">
      <c r="A536" s="34"/>
      <c r="B536" s="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2.75" x14ac:dyDescent="0.2">
      <c r="A537" s="34"/>
      <c r="B537" s="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2.75" x14ac:dyDescent="0.2">
      <c r="A538" s="34"/>
      <c r="B538" s="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2.75" x14ac:dyDescent="0.2">
      <c r="A539" s="34"/>
      <c r="B539" s="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2.75" x14ac:dyDescent="0.2">
      <c r="A540" s="34"/>
      <c r="B540" s="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2.75" x14ac:dyDescent="0.2">
      <c r="A541" s="34"/>
      <c r="B541" s="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2.75" x14ac:dyDescent="0.2">
      <c r="A542" s="34"/>
      <c r="B542" s="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2.75" x14ac:dyDescent="0.2">
      <c r="A543" s="34"/>
      <c r="B543" s="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2.75" x14ac:dyDescent="0.2">
      <c r="A544" s="34"/>
      <c r="B544" s="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2.75" x14ac:dyDescent="0.2">
      <c r="A545" s="34"/>
      <c r="B545" s="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2.75" x14ac:dyDescent="0.2">
      <c r="A546" s="34"/>
      <c r="B546" s="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2.75" x14ac:dyDescent="0.2">
      <c r="A547" s="34"/>
      <c r="B547" s="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2.75" x14ac:dyDescent="0.2">
      <c r="A548" s="34"/>
      <c r="B548" s="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2.75" x14ac:dyDescent="0.2">
      <c r="A549" s="34"/>
      <c r="B549" s="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2.75" x14ac:dyDescent="0.2">
      <c r="A550" s="34"/>
      <c r="B550" s="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2.75" x14ac:dyDescent="0.2">
      <c r="A551" s="34"/>
      <c r="B551" s="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2.75" x14ac:dyDescent="0.2">
      <c r="A552" s="34"/>
      <c r="B552" s="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2.75" x14ac:dyDescent="0.2">
      <c r="A553" s="34"/>
      <c r="B553" s="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2.75" x14ac:dyDescent="0.2">
      <c r="A554" s="34"/>
      <c r="B554" s="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2.75" x14ac:dyDescent="0.2">
      <c r="A555" s="34"/>
      <c r="B555" s="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2.75" x14ac:dyDescent="0.2">
      <c r="A556" s="34"/>
      <c r="B556" s="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2.75" x14ac:dyDescent="0.2">
      <c r="A557" s="34"/>
      <c r="B557" s="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2.75" x14ac:dyDescent="0.2">
      <c r="A558" s="34"/>
      <c r="B558" s="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2.75" x14ac:dyDescent="0.2">
      <c r="A559" s="34"/>
      <c r="B559" s="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2.75" x14ac:dyDescent="0.2">
      <c r="A560" s="34"/>
      <c r="B560" s="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2.75" x14ac:dyDescent="0.2">
      <c r="A561" s="34"/>
      <c r="B561" s="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2.75" x14ac:dyDescent="0.2">
      <c r="A562" s="34"/>
      <c r="B562" s="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2.75" x14ac:dyDescent="0.2">
      <c r="A563" s="34"/>
      <c r="B563" s="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2.75" x14ac:dyDescent="0.2">
      <c r="A564" s="34"/>
      <c r="B564" s="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2.75" x14ac:dyDescent="0.2">
      <c r="A565" s="34"/>
      <c r="B565" s="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2.75" x14ac:dyDescent="0.2">
      <c r="A566" s="34"/>
      <c r="B566" s="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2.75" x14ac:dyDescent="0.2">
      <c r="A567" s="34"/>
      <c r="B567" s="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2.75" x14ac:dyDescent="0.2">
      <c r="A568" s="34"/>
      <c r="B568" s="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2.75" x14ac:dyDescent="0.2">
      <c r="A569" s="34"/>
      <c r="B569" s="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2.75" x14ac:dyDescent="0.2">
      <c r="A570" s="34"/>
      <c r="B570" s="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2.75" x14ac:dyDescent="0.2">
      <c r="A571" s="34"/>
      <c r="B571" s="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2.75" x14ac:dyDescent="0.2">
      <c r="A572" s="34"/>
      <c r="B572" s="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2.75" x14ac:dyDescent="0.2">
      <c r="A573" s="34"/>
      <c r="B573" s="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2.75" x14ac:dyDescent="0.2">
      <c r="A574" s="34"/>
      <c r="B574" s="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2.75" x14ac:dyDescent="0.2">
      <c r="A575" s="34"/>
      <c r="B575" s="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2.75" x14ac:dyDescent="0.2">
      <c r="A576" s="34"/>
      <c r="B576" s="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2.75" x14ac:dyDescent="0.2">
      <c r="A577" s="34"/>
      <c r="B577" s="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2.75" x14ac:dyDescent="0.2">
      <c r="A578" s="34"/>
      <c r="B578" s="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2.75" x14ac:dyDescent="0.2">
      <c r="A579" s="34"/>
      <c r="B579" s="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2.75" x14ac:dyDescent="0.2">
      <c r="A580" s="34"/>
      <c r="B580" s="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2.75" x14ac:dyDescent="0.2">
      <c r="A581" s="34"/>
      <c r="B581" s="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2.75" x14ac:dyDescent="0.2">
      <c r="A582" s="34"/>
      <c r="B582" s="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2.75" x14ac:dyDescent="0.2">
      <c r="A583" s="34"/>
      <c r="B583" s="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2.75" x14ac:dyDescent="0.2">
      <c r="A584" s="34"/>
      <c r="B584" s="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2.75" x14ac:dyDescent="0.2">
      <c r="A585" s="34"/>
      <c r="B585" s="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2.75" x14ac:dyDescent="0.2">
      <c r="A586" s="34"/>
      <c r="B586" s="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2.75" x14ac:dyDescent="0.2">
      <c r="A587" s="34"/>
      <c r="B587" s="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2.75" x14ac:dyDescent="0.2">
      <c r="A588" s="34"/>
      <c r="B588" s="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2.75" x14ac:dyDescent="0.2">
      <c r="A589" s="34"/>
      <c r="B589" s="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2.75" x14ac:dyDescent="0.2">
      <c r="A590" s="34"/>
      <c r="B590" s="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2.75" x14ac:dyDescent="0.2">
      <c r="A591" s="34"/>
      <c r="B591" s="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2.75" x14ac:dyDescent="0.2">
      <c r="A592" s="34"/>
      <c r="B592" s="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2.75" x14ac:dyDescent="0.2">
      <c r="A593" s="34"/>
      <c r="B593" s="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2.75" x14ac:dyDescent="0.2">
      <c r="A594" s="34"/>
      <c r="B594" s="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2.75" x14ac:dyDescent="0.2">
      <c r="A595" s="34"/>
      <c r="B595" s="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2.75" x14ac:dyDescent="0.2">
      <c r="A596" s="34"/>
      <c r="B596" s="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2.75" x14ac:dyDescent="0.2">
      <c r="A597" s="34"/>
      <c r="B597" s="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2.75" x14ac:dyDescent="0.2">
      <c r="A598" s="34"/>
      <c r="B598" s="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2.75" x14ac:dyDescent="0.2">
      <c r="A599" s="34"/>
      <c r="B599" s="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2.75" x14ac:dyDescent="0.2">
      <c r="A600" s="34"/>
      <c r="B600" s="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2.75" x14ac:dyDescent="0.2">
      <c r="A601" s="34"/>
      <c r="B601" s="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2.75" x14ac:dyDescent="0.2">
      <c r="A602" s="34"/>
      <c r="B602" s="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2.75" x14ac:dyDescent="0.2">
      <c r="A603" s="34"/>
      <c r="B603" s="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2.75" x14ac:dyDescent="0.2">
      <c r="A604" s="34"/>
      <c r="B604" s="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2.75" x14ac:dyDescent="0.2">
      <c r="A605" s="34"/>
      <c r="B605" s="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2.75" x14ac:dyDescent="0.2">
      <c r="A606" s="34"/>
      <c r="B606" s="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2.75" x14ac:dyDescent="0.2">
      <c r="A607" s="34"/>
      <c r="B607" s="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2.75" x14ac:dyDescent="0.2">
      <c r="A608" s="34"/>
      <c r="B608" s="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2.75" x14ac:dyDescent="0.2">
      <c r="A609" s="34"/>
      <c r="B609" s="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2.75" x14ac:dyDescent="0.2">
      <c r="A610" s="34"/>
      <c r="B610" s="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2.75" x14ac:dyDescent="0.2">
      <c r="A611" s="34"/>
      <c r="B611" s="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2.75" x14ac:dyDescent="0.2">
      <c r="A612" s="34"/>
      <c r="B612" s="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2.75" x14ac:dyDescent="0.2">
      <c r="A613" s="34"/>
      <c r="B613" s="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2.75" x14ac:dyDescent="0.2">
      <c r="A614" s="34"/>
      <c r="B614" s="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2.75" x14ac:dyDescent="0.2">
      <c r="A615" s="34"/>
      <c r="B615" s="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2.75" x14ac:dyDescent="0.2">
      <c r="A616" s="34"/>
      <c r="B616" s="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2.75" x14ac:dyDescent="0.2">
      <c r="A617" s="34"/>
      <c r="B617" s="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2.75" x14ac:dyDescent="0.2">
      <c r="A618" s="34"/>
      <c r="B618" s="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2.75" x14ac:dyDescent="0.2">
      <c r="A619" s="34"/>
      <c r="B619" s="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2.75" x14ac:dyDescent="0.2">
      <c r="A620" s="34"/>
      <c r="B620" s="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2.75" x14ac:dyDescent="0.2">
      <c r="A621" s="34"/>
      <c r="B621" s="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2.75" x14ac:dyDescent="0.2">
      <c r="A622" s="34"/>
      <c r="B622" s="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2.75" x14ac:dyDescent="0.2">
      <c r="A623" s="34"/>
      <c r="B623" s="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2.75" x14ac:dyDescent="0.2">
      <c r="A624" s="34"/>
      <c r="B624" s="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2.75" x14ac:dyDescent="0.2">
      <c r="A625" s="34"/>
      <c r="B625" s="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2.75" x14ac:dyDescent="0.2">
      <c r="A626" s="34"/>
      <c r="B626" s="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2.75" x14ac:dyDescent="0.2">
      <c r="A627" s="34"/>
      <c r="B627" s="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2.75" x14ac:dyDescent="0.2">
      <c r="A628" s="34"/>
      <c r="B628" s="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2.75" x14ac:dyDescent="0.2">
      <c r="A629" s="34"/>
      <c r="B629" s="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2.75" x14ac:dyDescent="0.2">
      <c r="A630" s="34"/>
      <c r="B630" s="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2.75" x14ac:dyDescent="0.2">
      <c r="A631" s="34"/>
      <c r="B631" s="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2.75" x14ac:dyDescent="0.2">
      <c r="A632" s="34"/>
      <c r="B632" s="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2.75" x14ac:dyDescent="0.2">
      <c r="A633" s="34"/>
      <c r="B633" s="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2.75" x14ac:dyDescent="0.2">
      <c r="A634" s="34"/>
      <c r="B634" s="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2.75" x14ac:dyDescent="0.2">
      <c r="A635" s="34"/>
      <c r="B635" s="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2.75" x14ac:dyDescent="0.2">
      <c r="A636" s="34"/>
      <c r="B636" s="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2.75" x14ac:dyDescent="0.2">
      <c r="A637" s="34"/>
      <c r="B637" s="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2.75" x14ac:dyDescent="0.2">
      <c r="A638" s="34"/>
      <c r="B638" s="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2.75" x14ac:dyDescent="0.2">
      <c r="A639" s="34"/>
      <c r="B639" s="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2.75" x14ac:dyDescent="0.2">
      <c r="A640" s="34"/>
      <c r="B640" s="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2.75" x14ac:dyDescent="0.2">
      <c r="A641" s="34"/>
      <c r="B641" s="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2.75" x14ac:dyDescent="0.2">
      <c r="A642" s="34"/>
      <c r="B642" s="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2.75" x14ac:dyDescent="0.2">
      <c r="A643" s="34"/>
      <c r="B643" s="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2.75" x14ac:dyDescent="0.2">
      <c r="A644" s="34"/>
      <c r="B644" s="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2.75" x14ac:dyDescent="0.2">
      <c r="A645" s="34"/>
      <c r="B645" s="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2.75" x14ac:dyDescent="0.2">
      <c r="A646" s="34"/>
      <c r="B646" s="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2.75" x14ac:dyDescent="0.2">
      <c r="A647" s="34"/>
      <c r="B647" s="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2.75" x14ac:dyDescent="0.2">
      <c r="A648" s="34"/>
      <c r="B648" s="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2.75" x14ac:dyDescent="0.2">
      <c r="A649" s="34"/>
      <c r="B649" s="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2.75" x14ac:dyDescent="0.2">
      <c r="A650" s="34"/>
      <c r="B650" s="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2.75" x14ac:dyDescent="0.2">
      <c r="A651" s="34"/>
      <c r="B651" s="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2.75" x14ac:dyDescent="0.2">
      <c r="A652" s="34"/>
      <c r="B652" s="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2.75" x14ac:dyDescent="0.2">
      <c r="A653" s="34"/>
      <c r="B653" s="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2.75" x14ac:dyDescent="0.2">
      <c r="A654" s="34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2.75" x14ac:dyDescent="0.2">
      <c r="A655" s="34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2.75" x14ac:dyDescent="0.2">
      <c r="A656" s="34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2.75" x14ac:dyDescent="0.2">
      <c r="A657" s="34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2.75" x14ac:dyDescent="0.2">
      <c r="A658" s="34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2.75" x14ac:dyDescent="0.2">
      <c r="A659" s="34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2.75" x14ac:dyDescent="0.2">
      <c r="A660" s="34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2.75" x14ac:dyDescent="0.2">
      <c r="A661" s="34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2.75" x14ac:dyDescent="0.2">
      <c r="A662" s="34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2.75" x14ac:dyDescent="0.2">
      <c r="A663" s="34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2.75" x14ac:dyDescent="0.2">
      <c r="A664" s="34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2.75" x14ac:dyDescent="0.2">
      <c r="A665" s="34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2.75" x14ac:dyDescent="0.2">
      <c r="A666" s="34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2.75" x14ac:dyDescent="0.2">
      <c r="A667" s="34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2.75" x14ac:dyDescent="0.2">
      <c r="A668" s="34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2.75" x14ac:dyDescent="0.2">
      <c r="A669" s="34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2.75" x14ac:dyDescent="0.2">
      <c r="A670" s="34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2.75" x14ac:dyDescent="0.2">
      <c r="A671" s="34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2.75" x14ac:dyDescent="0.2">
      <c r="A672" s="34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2.75" x14ac:dyDescent="0.2">
      <c r="A673" s="34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2.75" x14ac:dyDescent="0.2">
      <c r="A674" s="34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2.75" x14ac:dyDescent="0.2">
      <c r="A675" s="34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2.75" x14ac:dyDescent="0.2">
      <c r="A676" s="34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2.75" x14ac:dyDescent="0.2">
      <c r="A677" s="34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2.75" x14ac:dyDescent="0.2">
      <c r="A678" s="34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2.75" x14ac:dyDescent="0.2">
      <c r="A679" s="34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2.75" x14ac:dyDescent="0.2">
      <c r="A680" s="34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2.75" x14ac:dyDescent="0.2">
      <c r="A681" s="34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2.75" x14ac:dyDescent="0.2">
      <c r="A682" s="34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2.75" x14ac:dyDescent="0.2">
      <c r="A683" s="34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2.75" x14ac:dyDescent="0.2">
      <c r="A684" s="34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2.75" x14ac:dyDescent="0.2">
      <c r="A685" s="34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2.75" x14ac:dyDescent="0.2">
      <c r="A686" s="34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2.75" x14ac:dyDescent="0.2">
      <c r="A687" s="34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2.75" x14ac:dyDescent="0.2">
      <c r="A688" s="34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2.75" x14ac:dyDescent="0.2">
      <c r="A689" s="34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2.75" x14ac:dyDescent="0.2">
      <c r="A690" s="34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2.75" x14ac:dyDescent="0.2">
      <c r="A691" s="34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2.75" x14ac:dyDescent="0.2">
      <c r="A692" s="34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2.75" x14ac:dyDescent="0.2">
      <c r="A693" s="34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2.75" x14ac:dyDescent="0.2">
      <c r="A694" s="34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2.75" x14ac:dyDescent="0.2">
      <c r="A695" s="34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2.75" x14ac:dyDescent="0.2">
      <c r="A696" s="34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2.75" x14ac:dyDescent="0.2">
      <c r="A697" s="34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2.75" x14ac:dyDescent="0.2">
      <c r="A698" s="34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2.75" x14ac:dyDescent="0.2">
      <c r="A699" s="34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2.75" x14ac:dyDescent="0.2">
      <c r="A700" s="34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2.75" x14ac:dyDescent="0.2">
      <c r="A701" s="34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2.75" x14ac:dyDescent="0.2">
      <c r="A702" s="34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2.75" x14ac:dyDescent="0.2">
      <c r="A703" s="34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2.75" x14ac:dyDescent="0.2">
      <c r="A704" s="34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2.75" x14ac:dyDescent="0.2">
      <c r="A705" s="34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2.75" x14ac:dyDescent="0.2">
      <c r="A706" s="34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2.75" x14ac:dyDescent="0.2">
      <c r="A707" s="34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2.75" x14ac:dyDescent="0.2">
      <c r="A708" s="34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2.75" x14ac:dyDescent="0.2">
      <c r="A709" s="34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2.75" x14ac:dyDescent="0.2">
      <c r="A710" s="34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2.75" x14ac:dyDescent="0.2">
      <c r="A711" s="34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2.75" x14ac:dyDescent="0.2">
      <c r="A712" s="34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2.75" x14ac:dyDescent="0.2">
      <c r="A713" s="34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2.75" x14ac:dyDescent="0.2">
      <c r="A714" s="34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2.75" x14ac:dyDescent="0.2">
      <c r="A715" s="34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2.75" x14ac:dyDescent="0.2">
      <c r="A716" s="34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2.75" x14ac:dyDescent="0.2">
      <c r="A717" s="34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2.75" x14ac:dyDescent="0.2">
      <c r="A718" s="34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2.75" x14ac:dyDescent="0.2">
      <c r="A719" s="34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2.75" x14ac:dyDescent="0.2">
      <c r="A720" s="34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2.75" x14ac:dyDescent="0.2">
      <c r="A721" s="34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2.75" x14ac:dyDescent="0.2">
      <c r="A722" s="34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2.75" x14ac:dyDescent="0.2">
      <c r="A723" s="34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2.75" x14ac:dyDescent="0.2">
      <c r="A724" s="34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2.75" x14ac:dyDescent="0.2">
      <c r="A725" s="34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2.75" x14ac:dyDescent="0.2">
      <c r="A726" s="34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2.75" x14ac:dyDescent="0.2">
      <c r="A727" s="34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2.75" x14ac:dyDescent="0.2">
      <c r="A728" s="34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2.75" x14ac:dyDescent="0.2">
      <c r="A729" s="34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2.75" x14ac:dyDescent="0.2">
      <c r="A730" s="34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2.75" x14ac:dyDescent="0.2">
      <c r="A731" s="34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2.75" x14ac:dyDescent="0.2">
      <c r="A732" s="34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2.75" x14ac:dyDescent="0.2">
      <c r="A733" s="34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2.75" x14ac:dyDescent="0.2">
      <c r="A734" s="34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2.75" x14ac:dyDescent="0.2">
      <c r="A735" s="34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2.75" x14ac:dyDescent="0.2">
      <c r="A736" s="34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2.75" x14ac:dyDescent="0.2">
      <c r="A737" s="34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2.75" x14ac:dyDescent="0.2">
      <c r="A738" s="34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2.75" x14ac:dyDescent="0.2">
      <c r="A739" s="34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2.75" x14ac:dyDescent="0.2">
      <c r="A740" s="34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2.75" x14ac:dyDescent="0.2">
      <c r="A741" s="34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2.75" x14ac:dyDescent="0.2">
      <c r="A742" s="34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2.75" x14ac:dyDescent="0.2">
      <c r="A743" s="34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2.75" x14ac:dyDescent="0.2">
      <c r="A744" s="34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2.75" x14ac:dyDescent="0.2">
      <c r="A745" s="34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2.75" x14ac:dyDescent="0.2">
      <c r="A746" s="34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2.75" x14ac:dyDescent="0.2">
      <c r="A747" s="34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2.75" x14ac:dyDescent="0.2">
      <c r="A748" s="34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2.75" x14ac:dyDescent="0.2">
      <c r="A749" s="34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2.75" x14ac:dyDescent="0.2">
      <c r="A750" s="34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2.75" x14ac:dyDescent="0.2">
      <c r="A751" s="34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2.75" x14ac:dyDescent="0.2">
      <c r="A752" s="34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2.75" x14ac:dyDescent="0.2">
      <c r="A753" s="34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2.75" x14ac:dyDescent="0.2">
      <c r="A754" s="34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2.75" x14ac:dyDescent="0.2">
      <c r="A755" s="34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2.75" x14ac:dyDescent="0.2">
      <c r="A756" s="34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2.75" x14ac:dyDescent="0.2">
      <c r="A757" s="34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2.75" x14ac:dyDescent="0.2">
      <c r="A758" s="34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2.75" x14ac:dyDescent="0.2">
      <c r="A759" s="34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2.75" x14ac:dyDescent="0.2">
      <c r="A760" s="34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2.75" x14ac:dyDescent="0.2">
      <c r="A761" s="34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2.75" x14ac:dyDescent="0.2">
      <c r="A762" s="34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2.75" x14ac:dyDescent="0.2">
      <c r="A763" s="34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2.75" x14ac:dyDescent="0.2">
      <c r="A764" s="34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2.75" x14ac:dyDescent="0.2">
      <c r="A765" s="34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2.75" x14ac:dyDescent="0.2">
      <c r="A766" s="34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2.75" x14ac:dyDescent="0.2">
      <c r="A767" s="34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2.75" x14ac:dyDescent="0.2">
      <c r="A768" s="34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2.75" x14ac:dyDescent="0.2">
      <c r="A769" s="34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2.75" x14ac:dyDescent="0.2">
      <c r="A770" s="34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2.75" x14ac:dyDescent="0.2">
      <c r="A771" s="34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2.75" x14ac:dyDescent="0.2">
      <c r="A772" s="34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2.75" x14ac:dyDescent="0.2">
      <c r="A773" s="34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2.75" x14ac:dyDescent="0.2">
      <c r="A774" s="34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2.75" x14ac:dyDescent="0.2">
      <c r="A775" s="34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2.75" x14ac:dyDescent="0.2">
      <c r="A776" s="34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2.75" x14ac:dyDescent="0.2">
      <c r="A777" s="34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2.75" x14ac:dyDescent="0.2">
      <c r="A778" s="34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2.75" x14ac:dyDescent="0.2">
      <c r="A779" s="34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2.75" x14ac:dyDescent="0.2">
      <c r="A780" s="34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2.75" x14ac:dyDescent="0.2">
      <c r="A781" s="34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2.75" x14ac:dyDescent="0.2">
      <c r="A782" s="34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2.75" x14ac:dyDescent="0.2">
      <c r="A783" s="34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2.75" x14ac:dyDescent="0.2">
      <c r="A784" s="34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2.75" x14ac:dyDescent="0.2">
      <c r="A785" s="34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2.75" x14ac:dyDescent="0.2">
      <c r="A786" s="34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2.75" x14ac:dyDescent="0.2">
      <c r="A787" s="34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2.75" x14ac:dyDescent="0.2">
      <c r="A788" s="34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2.75" x14ac:dyDescent="0.2">
      <c r="A789" s="34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2.75" x14ac:dyDescent="0.2">
      <c r="A790" s="34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2.75" x14ac:dyDescent="0.2">
      <c r="A791" s="34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2.75" x14ac:dyDescent="0.2">
      <c r="A792" s="34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2.75" x14ac:dyDescent="0.2">
      <c r="A793" s="34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2.75" x14ac:dyDescent="0.2">
      <c r="A794" s="34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2.75" x14ac:dyDescent="0.2">
      <c r="A795" s="34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2.75" x14ac:dyDescent="0.2">
      <c r="A796" s="34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2.75" x14ac:dyDescent="0.2">
      <c r="A797" s="34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2.75" x14ac:dyDescent="0.2">
      <c r="A798" s="34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2.75" x14ac:dyDescent="0.2">
      <c r="A799" s="34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2.75" x14ac:dyDescent="0.2">
      <c r="A800" s="34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2.75" x14ac:dyDescent="0.2">
      <c r="A801" s="34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2.75" x14ac:dyDescent="0.2">
      <c r="A802" s="34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2.75" x14ac:dyDescent="0.2">
      <c r="A803" s="34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2.75" x14ac:dyDescent="0.2">
      <c r="A804" s="34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2.75" x14ac:dyDescent="0.2">
      <c r="A805" s="34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2.75" x14ac:dyDescent="0.2">
      <c r="A806" s="34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2.75" x14ac:dyDescent="0.2">
      <c r="A807" s="34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2.75" x14ac:dyDescent="0.2">
      <c r="A808" s="34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2.75" x14ac:dyDescent="0.2">
      <c r="A809" s="34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2.75" x14ac:dyDescent="0.2">
      <c r="A810" s="34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2.75" x14ac:dyDescent="0.2">
      <c r="A811" s="34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2.75" x14ac:dyDescent="0.2">
      <c r="A812" s="34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2.75" x14ac:dyDescent="0.2">
      <c r="A813" s="34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2.75" x14ac:dyDescent="0.2">
      <c r="A814" s="34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2.75" x14ac:dyDescent="0.2">
      <c r="A815" s="34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2.75" x14ac:dyDescent="0.2">
      <c r="A816" s="34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2.75" x14ac:dyDescent="0.2">
      <c r="A817" s="34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2.75" x14ac:dyDescent="0.2">
      <c r="A818" s="34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2.75" x14ac:dyDescent="0.2">
      <c r="A819" s="34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2.75" x14ac:dyDescent="0.2">
      <c r="A820" s="34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2.75" x14ac:dyDescent="0.2">
      <c r="A821" s="34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2.75" x14ac:dyDescent="0.2">
      <c r="A822" s="34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2.75" x14ac:dyDescent="0.2">
      <c r="A823" s="34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2.75" x14ac:dyDescent="0.2">
      <c r="A824" s="34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2.75" x14ac:dyDescent="0.2">
      <c r="A825" s="34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2.75" x14ac:dyDescent="0.2">
      <c r="A826" s="34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2.75" x14ac:dyDescent="0.2">
      <c r="A827" s="34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2.75" x14ac:dyDescent="0.2">
      <c r="A828" s="34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2.75" x14ac:dyDescent="0.2">
      <c r="A829" s="34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2.75" x14ac:dyDescent="0.2">
      <c r="A830" s="34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2.75" x14ac:dyDescent="0.2">
      <c r="A831" s="34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2.75" x14ac:dyDescent="0.2">
      <c r="A832" s="34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2.75" x14ac:dyDescent="0.2">
      <c r="A833" s="34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2.75" x14ac:dyDescent="0.2">
      <c r="A834" s="34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2.75" x14ac:dyDescent="0.2">
      <c r="A835" s="34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2.75" x14ac:dyDescent="0.2">
      <c r="A836" s="34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2.75" x14ac:dyDescent="0.2">
      <c r="A837" s="34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2.75" x14ac:dyDescent="0.2">
      <c r="A838" s="34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2.75" x14ac:dyDescent="0.2">
      <c r="A839" s="34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2.75" x14ac:dyDescent="0.2">
      <c r="A840" s="34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2.75" x14ac:dyDescent="0.2">
      <c r="A841" s="34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2.75" x14ac:dyDescent="0.2">
      <c r="A842" s="34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2.75" x14ac:dyDescent="0.2">
      <c r="A843" s="34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2.75" x14ac:dyDescent="0.2">
      <c r="A844" s="34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2.75" x14ac:dyDescent="0.2">
      <c r="A845" s="34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2.75" x14ac:dyDescent="0.2">
      <c r="A846" s="34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2.75" x14ac:dyDescent="0.2">
      <c r="A847" s="34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2.75" x14ac:dyDescent="0.2">
      <c r="A848" s="34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2.75" x14ac:dyDescent="0.2">
      <c r="A849" s="34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2.75" x14ac:dyDescent="0.2">
      <c r="A850" s="34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2.75" x14ac:dyDescent="0.2">
      <c r="A851" s="34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2.75" x14ac:dyDescent="0.2">
      <c r="A852" s="34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2.75" x14ac:dyDescent="0.2">
      <c r="A853" s="34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2.75" x14ac:dyDescent="0.2">
      <c r="A854" s="34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2.75" x14ac:dyDescent="0.2">
      <c r="A855" s="34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2.75" x14ac:dyDescent="0.2">
      <c r="A856" s="34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2.75" x14ac:dyDescent="0.2">
      <c r="A857" s="34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2.75" x14ac:dyDescent="0.2">
      <c r="A858" s="34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2.75" x14ac:dyDescent="0.2">
      <c r="A859" s="34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2.75" x14ac:dyDescent="0.2">
      <c r="A860" s="34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2.75" x14ac:dyDescent="0.2">
      <c r="A861" s="34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2.75" x14ac:dyDescent="0.2">
      <c r="A862" s="34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2.75" x14ac:dyDescent="0.2">
      <c r="A863" s="34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2.75" x14ac:dyDescent="0.2">
      <c r="A864" s="34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2.75" x14ac:dyDescent="0.2">
      <c r="A865" s="34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2.75" x14ac:dyDescent="0.2">
      <c r="A866" s="34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2.75" x14ac:dyDescent="0.2">
      <c r="A867" s="34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2.75" x14ac:dyDescent="0.2">
      <c r="A868" s="34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2.75" x14ac:dyDescent="0.2">
      <c r="A869" s="34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2.75" x14ac:dyDescent="0.2">
      <c r="A870" s="34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2.75" x14ac:dyDescent="0.2">
      <c r="A871" s="34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2.75" x14ac:dyDescent="0.2">
      <c r="A872" s="34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2.75" x14ac:dyDescent="0.2">
      <c r="A873" s="34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2.75" x14ac:dyDescent="0.2">
      <c r="A874" s="34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2.75" x14ac:dyDescent="0.2">
      <c r="A875" s="34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2.75" x14ac:dyDescent="0.2">
      <c r="A876" s="34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2.75" x14ac:dyDescent="0.2">
      <c r="A877" s="34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2.75" x14ac:dyDescent="0.2">
      <c r="A878" s="34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2.75" x14ac:dyDescent="0.2">
      <c r="A879" s="34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2.75" x14ac:dyDescent="0.2">
      <c r="A880" s="34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2.75" x14ac:dyDescent="0.2">
      <c r="A881" s="34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2.75" x14ac:dyDescent="0.2">
      <c r="A882" s="34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2.75" x14ac:dyDescent="0.2">
      <c r="A883" s="34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2.75" x14ac:dyDescent="0.2">
      <c r="A884" s="34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2.75" x14ac:dyDescent="0.2">
      <c r="A885" s="34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2.75" x14ac:dyDescent="0.2">
      <c r="A886" s="34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2.75" x14ac:dyDescent="0.2">
      <c r="A887" s="34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2.75" x14ac:dyDescent="0.2">
      <c r="A888" s="34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2.75" x14ac:dyDescent="0.2">
      <c r="A889" s="34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2.75" x14ac:dyDescent="0.2">
      <c r="A890" s="34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2.75" x14ac:dyDescent="0.2">
      <c r="A891" s="34"/>
      <c r="B891" s="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</sheetData>
  <mergeCells count="1">
    <mergeCell ref="B1:D1"/>
  </mergeCells>
  <printOptions horizontalCentered="1"/>
  <pageMargins left="0.3" right="0.3" top="0.3" bottom="0.3" header="0" footer="0"/>
  <pageSetup scale="55" fitToHeight="0" orientation="landscape" horizontalDpi="429496729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27C8-B7B4-4D92-9E62-2833BBCD9BF7}">
  <sheetPr>
    <tabColor rgb="FFB5E6A2"/>
  </sheetPr>
  <dimension ref="B1:T65"/>
  <sheetViews>
    <sheetView workbookViewId="0"/>
  </sheetViews>
  <sheetFormatPr baseColWidth="10" defaultColWidth="11.42578125" defaultRowHeight="12.75" x14ac:dyDescent="0.2"/>
  <cols>
    <col min="1" max="1" width="3" style="28" customWidth="1"/>
    <col min="2" max="2" width="8.7109375" style="28" customWidth="1"/>
    <col min="3" max="3" width="20.7109375" style="28" customWidth="1"/>
    <col min="4" max="4" width="40.7109375" style="28" customWidth="1"/>
    <col min="5" max="5" width="71.7109375" style="28" customWidth="1"/>
    <col min="6" max="6" width="18.7109375" style="28" customWidth="1"/>
    <col min="7" max="7" width="37.7109375" style="28" customWidth="1"/>
    <col min="8" max="8" width="91.7109375" style="28" customWidth="1"/>
    <col min="9" max="9" width="15.140625" style="28" bestFit="1" customWidth="1"/>
    <col min="10" max="10" width="17.140625" style="28" bestFit="1" customWidth="1"/>
    <col min="11" max="16384" width="11.42578125" style="28"/>
  </cols>
  <sheetData>
    <row r="1" spans="2:20" s="3" customFormat="1" ht="45" customHeight="1" x14ac:dyDescent="0.2">
      <c r="B1" s="122" t="s">
        <v>242</v>
      </c>
      <c r="C1" s="122"/>
      <c r="D1" s="122"/>
      <c r="E1" s="122"/>
      <c r="F1" s="2"/>
      <c r="G1" s="2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2:20" s="3" customFormat="1" ht="19.5" customHeight="1" x14ac:dyDescent="0.2">
      <c r="C2" s="2"/>
      <c r="D2" s="15"/>
      <c r="E2" s="15"/>
      <c r="F2" s="15"/>
      <c r="G2" s="15"/>
      <c r="H2" s="2"/>
      <c r="I2" s="15"/>
      <c r="J2" s="15"/>
      <c r="K2" s="15"/>
      <c r="L2" s="9"/>
      <c r="M2" s="9"/>
      <c r="N2" s="2"/>
      <c r="O2" s="2"/>
      <c r="P2" s="2"/>
      <c r="Q2" s="2"/>
      <c r="R2" s="2"/>
      <c r="S2" s="2"/>
      <c r="T2" s="2"/>
    </row>
    <row r="3" spans="2:20" s="3" customFormat="1" ht="19.5" customHeight="1" x14ac:dyDescent="0.2">
      <c r="B3" s="106" t="s">
        <v>135</v>
      </c>
      <c r="C3" s="107"/>
      <c r="D3" s="107"/>
      <c r="E3" s="108"/>
      <c r="F3" s="15"/>
      <c r="G3" s="15"/>
      <c r="H3" s="2"/>
      <c r="I3" s="15"/>
      <c r="J3" s="15"/>
      <c r="K3" s="15"/>
      <c r="L3" s="9"/>
      <c r="M3" s="9"/>
      <c r="N3" s="2"/>
      <c r="O3" s="2"/>
      <c r="P3" s="2"/>
      <c r="Q3" s="2"/>
      <c r="R3" s="2"/>
      <c r="S3" s="2"/>
      <c r="T3" s="2"/>
    </row>
    <row r="4" spans="2:20" s="3" customFormat="1" ht="19.5" customHeight="1" x14ac:dyDescent="0.2">
      <c r="B4" s="115" t="s">
        <v>134</v>
      </c>
      <c r="C4" s="116"/>
      <c r="D4" s="115" t="s">
        <v>136</v>
      </c>
      <c r="E4" s="116"/>
      <c r="F4" s="15"/>
      <c r="G4" s="15"/>
      <c r="H4" s="2"/>
      <c r="I4" s="15"/>
      <c r="J4" s="15"/>
      <c r="K4" s="15"/>
      <c r="L4" s="9"/>
      <c r="M4" s="9"/>
      <c r="N4" s="2"/>
      <c r="O4" s="2"/>
      <c r="P4" s="2"/>
      <c r="Q4" s="2"/>
      <c r="R4" s="2"/>
      <c r="S4" s="2"/>
      <c r="T4" s="2"/>
    </row>
    <row r="5" spans="2:20" s="3" customFormat="1" ht="19.5" customHeight="1" x14ac:dyDescent="0.2">
      <c r="B5" s="109" t="s">
        <v>210</v>
      </c>
      <c r="C5" s="110"/>
      <c r="D5" s="109" t="s">
        <v>211</v>
      </c>
      <c r="E5" s="110"/>
      <c r="F5" s="15"/>
      <c r="G5" s="15"/>
      <c r="H5" s="2"/>
      <c r="I5" s="15"/>
      <c r="J5" s="15"/>
      <c r="K5" s="15"/>
      <c r="L5" s="9"/>
      <c r="M5" s="9"/>
      <c r="N5" s="2"/>
      <c r="O5" s="2"/>
      <c r="P5" s="2"/>
      <c r="Q5" s="2"/>
      <c r="R5" s="2"/>
      <c r="S5" s="2"/>
      <c r="T5" s="2"/>
    </row>
    <row r="6" spans="2:20" s="3" customFormat="1" ht="19.5" customHeight="1" x14ac:dyDescent="0.2">
      <c r="B6" s="109" t="s">
        <v>232</v>
      </c>
      <c r="C6" s="110"/>
      <c r="D6" s="109" t="s">
        <v>233</v>
      </c>
      <c r="E6" s="110"/>
      <c r="F6" s="15"/>
      <c r="G6" s="15"/>
      <c r="H6" s="2"/>
      <c r="I6" s="15"/>
      <c r="J6" s="15"/>
      <c r="K6" s="15"/>
      <c r="L6" s="9"/>
      <c r="M6" s="9"/>
      <c r="N6" s="2"/>
      <c r="O6" s="2"/>
      <c r="P6" s="2"/>
      <c r="Q6" s="2"/>
      <c r="R6" s="2"/>
      <c r="S6" s="2"/>
      <c r="T6" s="2"/>
    </row>
    <row r="7" spans="2:20" s="3" customFormat="1" ht="19.5" customHeight="1" x14ac:dyDescent="0.2">
      <c r="B7" s="109" t="s">
        <v>239</v>
      </c>
      <c r="C7" s="110"/>
      <c r="D7" s="109" t="s">
        <v>240</v>
      </c>
      <c r="E7" s="110"/>
      <c r="F7" s="15"/>
      <c r="G7" s="15"/>
      <c r="H7" s="2"/>
      <c r="I7" s="15"/>
      <c r="J7" s="15"/>
      <c r="K7" s="15"/>
      <c r="L7" s="9"/>
      <c r="M7" s="9"/>
      <c r="N7" s="2"/>
      <c r="O7" s="2"/>
      <c r="P7" s="2"/>
      <c r="Q7" s="2"/>
      <c r="R7" s="2"/>
      <c r="S7" s="2"/>
      <c r="T7" s="2"/>
    </row>
    <row r="8" spans="2:20" s="3" customFormat="1" ht="19.5" customHeight="1" x14ac:dyDescent="0.2">
      <c r="C8" s="2"/>
      <c r="D8" s="15"/>
      <c r="E8" s="15"/>
      <c r="F8" s="15"/>
      <c r="G8" s="15"/>
      <c r="H8" s="2"/>
      <c r="I8" s="15"/>
      <c r="J8" s="15"/>
      <c r="K8" s="15"/>
      <c r="L8" s="9"/>
      <c r="M8" s="9"/>
      <c r="N8" s="2"/>
      <c r="O8" s="2"/>
      <c r="P8" s="2"/>
      <c r="Q8" s="2"/>
      <c r="R8" s="2"/>
      <c r="S8" s="2"/>
      <c r="T8" s="2"/>
    </row>
    <row r="9" spans="2:20" ht="19.5" customHeight="1" x14ac:dyDescent="0.2">
      <c r="B9" s="106" t="s">
        <v>123</v>
      </c>
      <c r="C9" s="107"/>
      <c r="D9" s="107"/>
      <c r="E9" s="108"/>
      <c r="F9" s="16"/>
      <c r="G9" s="40"/>
      <c r="H9" s="16"/>
    </row>
    <row r="10" spans="2:20" ht="30" customHeight="1" x14ac:dyDescent="0.2">
      <c r="B10" s="109"/>
      <c r="C10" s="110"/>
      <c r="D10" s="111" t="s">
        <v>132</v>
      </c>
      <c r="E10" s="112"/>
    </row>
    <row r="11" spans="2:20" ht="19.5" customHeight="1" x14ac:dyDescent="0.2">
      <c r="B11" s="113"/>
      <c r="C11" s="114"/>
      <c r="D11" s="111" t="s">
        <v>124</v>
      </c>
      <c r="E11" s="112"/>
    </row>
    <row r="12" spans="2:20" ht="19.5" customHeight="1" x14ac:dyDescent="0.2">
      <c r="B12" s="118" t="s">
        <v>133</v>
      </c>
      <c r="C12" s="119"/>
      <c r="D12" s="111"/>
      <c r="E12" s="112"/>
    </row>
    <row r="13" spans="2:20" ht="30" customHeight="1" x14ac:dyDescent="0.2">
      <c r="B13" s="65"/>
      <c r="C13" s="66"/>
      <c r="D13" s="111" t="s">
        <v>164</v>
      </c>
      <c r="E13" s="112"/>
    </row>
    <row r="14" spans="2:20" ht="19.5" customHeight="1" x14ac:dyDescent="0.2">
      <c r="B14" s="65"/>
      <c r="C14" s="45" t="s">
        <v>128</v>
      </c>
      <c r="D14" s="111" t="s">
        <v>137</v>
      </c>
      <c r="E14" s="112"/>
    </row>
    <row r="15" spans="2:20" ht="19.5" customHeight="1" x14ac:dyDescent="0.2">
      <c r="B15" s="65"/>
      <c r="C15" s="67"/>
      <c r="D15" s="111" t="s">
        <v>125</v>
      </c>
      <c r="E15" s="112"/>
    </row>
    <row r="16" spans="2:20" ht="19.5" customHeight="1" x14ac:dyDescent="0.2">
      <c r="B16" s="65"/>
      <c r="C16" s="68"/>
      <c r="D16" s="111" t="s">
        <v>126</v>
      </c>
      <c r="E16" s="112"/>
    </row>
    <row r="17" spans="2:8" ht="19.5" customHeight="1" x14ac:dyDescent="0.2">
      <c r="B17" s="65"/>
      <c r="C17" s="192"/>
      <c r="D17" s="111" t="s">
        <v>127</v>
      </c>
      <c r="E17" s="112"/>
    </row>
    <row r="18" spans="2:8" ht="19.5" customHeight="1" x14ac:dyDescent="0.2">
      <c r="B18" s="120"/>
      <c r="C18" s="120"/>
      <c r="D18" s="121"/>
      <c r="E18" s="121"/>
    </row>
    <row r="19" spans="2:8" ht="19.5" customHeight="1" x14ac:dyDescent="0.2">
      <c r="B19" s="106" t="s">
        <v>130</v>
      </c>
      <c r="C19" s="107"/>
      <c r="D19" s="107"/>
      <c r="E19" s="108"/>
      <c r="F19" s="16"/>
      <c r="G19" s="40"/>
      <c r="H19" s="16"/>
    </row>
    <row r="20" spans="2:8" ht="30" customHeight="1" x14ac:dyDescent="0.2">
      <c r="B20" s="109" t="s">
        <v>131</v>
      </c>
      <c r="C20" s="110"/>
      <c r="D20" s="111" t="s">
        <v>138</v>
      </c>
      <c r="E20" s="112"/>
    </row>
    <row r="21" spans="2:8" ht="19.5" customHeight="1" x14ac:dyDescent="0.2">
      <c r="B21" s="16"/>
      <c r="C21" s="40"/>
      <c r="D21" s="64"/>
    </row>
    <row r="22" spans="2:8" ht="19.5" customHeight="1" x14ac:dyDescent="0.2">
      <c r="B22" s="16"/>
      <c r="C22" s="40"/>
      <c r="D22" s="16"/>
    </row>
    <row r="23" spans="2:8" ht="19.5" customHeight="1" x14ac:dyDescent="0.2">
      <c r="B23" s="16"/>
      <c r="C23" s="40"/>
      <c r="D23" s="16"/>
    </row>
    <row r="24" spans="2:8" ht="19.5" customHeight="1" x14ac:dyDescent="0.2">
      <c r="B24" s="47"/>
      <c r="C24" s="47"/>
      <c r="D24" s="47"/>
      <c r="E24" s="117"/>
      <c r="F24" s="117"/>
    </row>
    <row r="25" spans="2:8" ht="19.5" customHeight="1" x14ac:dyDescent="0.2">
      <c r="B25" s="16"/>
      <c r="C25" s="40"/>
      <c r="D25" s="63"/>
    </row>
    <row r="26" spans="2:8" ht="19.5" customHeight="1" x14ac:dyDescent="0.2">
      <c r="B26" s="16"/>
      <c r="C26" s="40"/>
      <c r="D26" s="63"/>
    </row>
    <row r="27" spans="2:8" ht="19.5" customHeight="1" x14ac:dyDescent="0.2">
      <c r="B27" s="16"/>
      <c r="C27" s="62"/>
      <c r="D27" s="63"/>
    </row>
    <row r="28" spans="2:8" ht="19.5" customHeight="1" x14ac:dyDescent="0.2">
      <c r="B28" s="16"/>
      <c r="C28" s="40"/>
      <c r="D28" s="16"/>
    </row>
    <row r="29" spans="2:8" ht="19.5" customHeight="1" x14ac:dyDescent="0.2">
      <c r="B29" s="16"/>
      <c r="C29" s="40"/>
      <c r="D29" s="16"/>
    </row>
    <row r="30" spans="2:8" ht="19.5" customHeight="1" x14ac:dyDescent="0.2"/>
    <row r="31" spans="2:8" ht="19.5" customHeight="1" x14ac:dyDescent="0.2"/>
    <row r="32" spans="2:8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</sheetData>
  <mergeCells count="28">
    <mergeCell ref="E24:F24"/>
    <mergeCell ref="B12:C12"/>
    <mergeCell ref="D12:E12"/>
    <mergeCell ref="D13:E13"/>
    <mergeCell ref="D14:E14"/>
    <mergeCell ref="D15:E15"/>
    <mergeCell ref="D16:E16"/>
    <mergeCell ref="B20:C20"/>
    <mergeCell ref="D20:E20"/>
    <mergeCell ref="D17:E17"/>
    <mergeCell ref="B18:C18"/>
    <mergeCell ref="D18:E18"/>
    <mergeCell ref="B19:E19"/>
    <mergeCell ref="B9:E9"/>
    <mergeCell ref="B10:C10"/>
    <mergeCell ref="D10:E10"/>
    <mergeCell ref="B11:C11"/>
    <mergeCell ref="D11:E11"/>
    <mergeCell ref="B3:E3"/>
    <mergeCell ref="B5:C5"/>
    <mergeCell ref="D5:E5"/>
    <mergeCell ref="B4:C4"/>
    <mergeCell ref="D4:E4"/>
    <mergeCell ref="B7:C7"/>
    <mergeCell ref="D7:E7"/>
    <mergeCell ref="B6:C6"/>
    <mergeCell ref="D6:E6"/>
    <mergeCell ref="B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4002726BB1F443968F5414BE7A2EF1" ma:contentTypeVersion="4" ma:contentTypeDescription="Ein neues Dokument erstellen." ma:contentTypeScope="" ma:versionID="4ec34f4de6e098e8ddaaad2f3075d8d7">
  <xsd:schema xmlns:xsd="http://www.w3.org/2001/XMLSchema" xmlns:xs="http://www.w3.org/2001/XMLSchema" xmlns:p="http://schemas.microsoft.com/office/2006/metadata/properties" xmlns:ns2="c6aad9c2-76e7-4ab2-8cc5-b497496d599b" targetNamespace="http://schemas.microsoft.com/office/2006/metadata/properties" ma:root="true" ma:fieldsID="788eb9c00d7c1360833984a8fe946355" ns2:_="">
    <xsd:import namespace="c6aad9c2-76e7-4ab2-8cc5-b497496d5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d9c2-76e7-4ab2-8cc5-b497496d5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838384-4353-4183-8951-67B92EBE265E}"/>
</file>

<file path=customXml/itemProps2.xml><?xml version="1.0" encoding="utf-8"?>
<ds:datastoreItem xmlns:ds="http://schemas.openxmlformats.org/officeDocument/2006/customXml" ds:itemID="{69DF97AD-5D52-4E39-908F-17424B168787}"/>
</file>

<file path=customXml/itemProps3.xml><?xml version="1.0" encoding="utf-8"?>
<ds:datastoreItem xmlns:ds="http://schemas.openxmlformats.org/officeDocument/2006/customXml" ds:itemID="{A665E519-87E0-4045-BCCA-D0E001AC050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Report</vt:lpstr>
      <vt:lpstr>Specific Test Cases</vt:lpstr>
      <vt:lpstr>Optional Support</vt:lpstr>
      <vt:lpstr>Comments</vt:lpstr>
      <vt:lpstr>Legend</vt:lpstr>
      <vt:lpstr>Comments!Druckbereich</vt:lpstr>
      <vt:lpstr>'Specific Test Cases'!Druckbereich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EEBus High-Level Parameter Sheet</dc:subject>
  <dc:creator>Sebastian Hambücken</dc:creator>
  <cp:lastModifiedBy>Andreas Schwackenberg</cp:lastModifiedBy>
  <cp:lastPrinted>2023-06-14T12:57:39Z</cp:lastPrinted>
  <dcterms:created xsi:type="dcterms:W3CDTF">2017-03-14T15:21:29Z</dcterms:created>
  <dcterms:modified xsi:type="dcterms:W3CDTF">2026-07-17T20:08:31Z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0x010100804002726BB1F443968F5414BE7A2EF1</vt:lpwstr>
  </property>
</Properties>
</file>