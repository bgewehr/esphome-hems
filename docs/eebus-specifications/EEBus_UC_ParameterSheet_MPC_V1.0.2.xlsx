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ync\SVN\EEBUS\trunk\TestSpecs\UC_TestSpecs\MonitoringOfPowerConsumption\"/>
    </mc:Choice>
  </mc:AlternateContent>
  <xr:revisionPtr revIDLastSave="0" documentId="13_ncr:1_{B16C9821-7396-4C04-9F87-E85BC13AEEA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port" sheetId="7" r:id="rId1"/>
    <sheet name="Specific Test Cases" sheetId="1" r:id="rId2"/>
    <sheet name="Comments" sheetId="3" r:id="rId3"/>
    <sheet name="Legend" sheetId="4" r:id="rId4"/>
  </sheets>
  <definedNames>
    <definedName name="_xlnm._FilterDatabase" localSheetId="1" hidden="1">'Specific Test Cases'!$B$59:$K$257</definedName>
    <definedName name="_xlnm.Print_Area" localSheetId="2">Comments!$B$1:$Q$9</definedName>
    <definedName name="_xlnm.Print_Area" localSheetId="1">'Specific Test Cases'!$B$1:$N$215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3" i="1" l="1"/>
  <c r="I142" i="1"/>
  <c r="I141" i="1"/>
  <c r="I140" i="1"/>
  <c r="I138" i="1"/>
  <c r="F27" i="7"/>
  <c r="F25" i="7"/>
  <c r="F23" i="7"/>
  <c r="F22" i="7" a="1"/>
  <c r="F22" i="7" s="1"/>
  <c r="E27" i="7"/>
  <c r="E25" i="7"/>
  <c r="E23" i="7"/>
  <c r="E22" i="7" a="1"/>
  <c r="E22" i="7" s="1"/>
  <c r="D27" i="7"/>
  <c r="D25" i="7"/>
  <c r="D23" i="7"/>
  <c r="D22" i="7" a="1"/>
  <c r="D22" i="7" s="1"/>
  <c r="D19" i="7"/>
  <c r="D17" i="7" a="1"/>
  <c r="D17" i="7" s="1"/>
  <c r="D18" i="7" a="1"/>
  <c r="D18" i="7" s="1"/>
  <c r="F18" i="7" a="1"/>
  <c r="F18" i="7" s="1"/>
  <c r="F17" i="7" a="1"/>
  <c r="F17" i="7" s="1"/>
  <c r="E18" i="7" a="1"/>
  <c r="E18" i="7" s="1"/>
  <c r="E17" i="7" a="1"/>
  <c r="E17" i="7" s="1"/>
  <c r="D24" i="7" l="1"/>
  <c r="F24" i="7"/>
  <c r="F28" i="7"/>
  <c r="E24" i="7"/>
  <c r="D26" i="7"/>
  <c r="E26" i="7"/>
  <c r="D28" i="7"/>
  <c r="F26" i="7"/>
  <c r="E28" i="7"/>
  <c r="J257" i="1"/>
  <c r="J256" i="1"/>
  <c r="J253" i="1"/>
  <c r="J251" i="1"/>
  <c r="J250" i="1"/>
  <c r="J247" i="1"/>
  <c r="J245" i="1"/>
  <c r="J244" i="1"/>
  <c r="J241" i="1"/>
  <c r="J239" i="1"/>
  <c r="J238" i="1"/>
  <c r="J235" i="1"/>
  <c r="J233" i="1"/>
  <c r="J232" i="1"/>
  <c r="J229" i="1"/>
  <c r="J227" i="1"/>
  <c r="J226" i="1"/>
  <c r="J223" i="1"/>
  <c r="J221" i="1"/>
  <c r="J220" i="1"/>
  <c r="J217" i="1"/>
  <c r="J215" i="1"/>
  <c r="J214" i="1"/>
  <c r="J213" i="1"/>
  <c r="J212" i="1"/>
  <c r="J209" i="1"/>
  <c r="J207" i="1"/>
  <c r="J205" i="1"/>
  <c r="J204" i="1"/>
  <c r="J203" i="1"/>
  <c r="J202" i="1"/>
  <c r="J199" i="1"/>
  <c r="J197" i="1"/>
  <c r="J195" i="1"/>
  <c r="J194" i="1"/>
  <c r="J193" i="1"/>
  <c r="J192" i="1"/>
  <c r="J189" i="1"/>
  <c r="J187" i="1"/>
  <c r="J185" i="1"/>
  <c r="J184" i="1"/>
  <c r="J181" i="1"/>
  <c r="J179" i="1"/>
  <c r="J178" i="1"/>
  <c r="J175" i="1"/>
  <c r="J173" i="1"/>
  <c r="J172" i="1"/>
  <c r="J171" i="1"/>
  <c r="J170" i="1"/>
  <c r="J167" i="1"/>
  <c r="J165" i="1"/>
  <c r="J163" i="1"/>
  <c r="J162" i="1"/>
  <c r="J161" i="1"/>
  <c r="J160" i="1"/>
  <c r="J157" i="1"/>
  <c r="J155" i="1"/>
  <c r="J153" i="1"/>
  <c r="J152" i="1"/>
  <c r="J151" i="1"/>
  <c r="J150" i="1"/>
  <c r="J147" i="1"/>
  <c r="J145" i="1"/>
  <c r="J143" i="1"/>
  <c r="J142" i="1"/>
  <c r="J141" i="1"/>
  <c r="J140" i="1"/>
  <c r="J137" i="1"/>
  <c r="J135" i="1"/>
  <c r="J131" i="1"/>
  <c r="J128" i="1"/>
  <c r="J125" i="1"/>
  <c r="J122" i="1"/>
  <c r="J119" i="1"/>
  <c r="J116" i="1"/>
  <c r="J113" i="1"/>
  <c r="J110" i="1"/>
  <c r="J107" i="1"/>
  <c r="J105" i="1"/>
  <c r="J102" i="1"/>
  <c r="J100" i="1"/>
  <c r="J97" i="1"/>
  <c r="J95" i="1"/>
  <c r="J92" i="1"/>
  <c r="J90" i="1"/>
  <c r="J88" i="1"/>
  <c r="J85" i="1"/>
  <c r="J82" i="1"/>
  <c r="J80" i="1"/>
  <c r="J77" i="1"/>
  <c r="J75" i="1"/>
  <c r="J72" i="1"/>
  <c r="J70" i="1"/>
  <c r="J67" i="1"/>
  <c r="J65" i="1"/>
  <c r="J61" i="1"/>
  <c r="I257" i="1"/>
  <c r="I256" i="1"/>
  <c r="I254" i="1"/>
  <c r="I253" i="1"/>
  <c r="I251" i="1"/>
  <c r="I250" i="1"/>
  <c r="I248" i="1"/>
  <c r="I247" i="1"/>
  <c r="I245" i="1"/>
  <c r="I244" i="1"/>
  <c r="I242" i="1"/>
  <c r="I241" i="1"/>
  <c r="I239" i="1"/>
  <c r="I238" i="1"/>
  <c r="I236" i="1"/>
  <c r="I235" i="1"/>
  <c r="I233" i="1"/>
  <c r="I232" i="1"/>
  <c r="I230" i="1"/>
  <c r="I229" i="1"/>
  <c r="I227" i="1"/>
  <c r="I226" i="1"/>
  <c r="I224" i="1"/>
  <c r="I223" i="1"/>
  <c r="I221" i="1"/>
  <c r="I220" i="1"/>
  <c r="I218" i="1"/>
  <c r="I217" i="1"/>
  <c r="I215" i="1"/>
  <c r="I214" i="1"/>
  <c r="I213" i="1"/>
  <c r="I212" i="1"/>
  <c r="I210" i="1"/>
  <c r="I209" i="1"/>
  <c r="I208" i="1"/>
  <c r="I207" i="1"/>
  <c r="I205" i="1"/>
  <c r="I204" i="1"/>
  <c r="I203" i="1"/>
  <c r="I202" i="1"/>
  <c r="I200" i="1"/>
  <c r="I199" i="1"/>
  <c r="I198" i="1"/>
  <c r="I197" i="1"/>
  <c r="I195" i="1"/>
  <c r="I194" i="1"/>
  <c r="I193" i="1"/>
  <c r="I192" i="1"/>
  <c r="I190" i="1"/>
  <c r="I189" i="1"/>
  <c r="I188" i="1"/>
  <c r="I187" i="1"/>
  <c r="I185" i="1"/>
  <c r="I184" i="1"/>
  <c r="I182" i="1"/>
  <c r="I181" i="1"/>
  <c r="I179" i="1"/>
  <c r="I178" i="1"/>
  <c r="I176" i="1"/>
  <c r="I175" i="1"/>
  <c r="I173" i="1"/>
  <c r="I172" i="1"/>
  <c r="I171" i="1"/>
  <c r="I170" i="1"/>
  <c r="I168" i="1"/>
  <c r="I167" i="1"/>
  <c r="I166" i="1"/>
  <c r="I165" i="1"/>
  <c r="I163" i="1"/>
  <c r="I162" i="1"/>
  <c r="I161" i="1"/>
  <c r="I160" i="1"/>
  <c r="I158" i="1"/>
  <c r="I157" i="1"/>
  <c r="I156" i="1"/>
  <c r="I155" i="1"/>
  <c r="I153" i="1"/>
  <c r="I152" i="1"/>
  <c r="I151" i="1"/>
  <c r="I150" i="1"/>
  <c r="I148" i="1"/>
  <c r="I147" i="1"/>
  <c r="I146" i="1"/>
  <c r="I145" i="1"/>
  <c r="I137" i="1"/>
  <c r="I136" i="1"/>
  <c r="I135" i="1"/>
  <c r="I133" i="1"/>
  <c r="I131" i="1"/>
  <c r="I129" i="1"/>
  <c r="I128" i="1"/>
  <c r="I126" i="1"/>
  <c r="I125" i="1"/>
  <c r="I123" i="1"/>
  <c r="I122" i="1"/>
  <c r="I120" i="1"/>
  <c r="I119" i="1"/>
  <c r="I117" i="1"/>
  <c r="I116" i="1"/>
  <c r="I114" i="1"/>
  <c r="I113" i="1"/>
  <c r="I111" i="1"/>
  <c r="I110" i="1"/>
  <c r="I108" i="1"/>
  <c r="I107" i="1"/>
  <c r="I106" i="1"/>
  <c r="I105" i="1"/>
  <c r="I103" i="1"/>
  <c r="I102" i="1"/>
  <c r="I101" i="1"/>
  <c r="I100" i="1"/>
  <c r="I98" i="1"/>
  <c r="I97" i="1"/>
  <c r="I96" i="1"/>
  <c r="I95" i="1"/>
  <c r="I93" i="1"/>
  <c r="I92" i="1"/>
  <c r="I90" i="1"/>
  <c r="I88" i="1"/>
  <c r="I86" i="1"/>
  <c r="I85" i="1"/>
  <c r="I83" i="1"/>
  <c r="I82" i="1"/>
  <c r="I81" i="1"/>
  <c r="I80" i="1"/>
  <c r="I78" i="1"/>
  <c r="I77" i="1"/>
  <c r="I76" i="1"/>
  <c r="I75" i="1"/>
  <c r="I73" i="1"/>
  <c r="I72" i="1"/>
  <c r="I71" i="1"/>
  <c r="I70" i="1"/>
  <c r="I68" i="1"/>
  <c r="I67" i="1"/>
  <c r="I66" i="1"/>
  <c r="I65" i="1"/>
  <c r="I63" i="1"/>
  <c r="I61" i="1"/>
  <c r="H257" i="1"/>
  <c r="F257" i="1"/>
  <c r="H256" i="1"/>
  <c r="F256" i="1"/>
  <c r="H254" i="1"/>
  <c r="F254" i="1"/>
  <c r="H253" i="1"/>
  <c r="F253" i="1"/>
  <c r="H251" i="1"/>
  <c r="F251" i="1"/>
  <c r="H250" i="1"/>
  <c r="F250" i="1"/>
  <c r="H248" i="1"/>
  <c r="F248" i="1"/>
  <c r="H247" i="1"/>
  <c r="F247" i="1"/>
  <c r="H245" i="1"/>
  <c r="F245" i="1"/>
  <c r="H244" i="1"/>
  <c r="F244" i="1"/>
  <c r="H242" i="1"/>
  <c r="F242" i="1"/>
  <c r="H241" i="1"/>
  <c r="F241" i="1"/>
  <c r="H239" i="1"/>
  <c r="F239" i="1"/>
  <c r="H238" i="1"/>
  <c r="F238" i="1"/>
  <c r="H236" i="1"/>
  <c r="F236" i="1"/>
  <c r="H235" i="1"/>
  <c r="F235" i="1"/>
  <c r="H233" i="1"/>
  <c r="F233" i="1"/>
  <c r="H232" i="1"/>
  <c r="F232" i="1"/>
  <c r="H230" i="1"/>
  <c r="F230" i="1"/>
  <c r="H229" i="1"/>
  <c r="F229" i="1"/>
  <c r="H227" i="1"/>
  <c r="F227" i="1"/>
  <c r="H226" i="1"/>
  <c r="F226" i="1"/>
  <c r="H224" i="1"/>
  <c r="F224" i="1"/>
  <c r="H223" i="1"/>
  <c r="F223" i="1"/>
  <c r="H221" i="1"/>
  <c r="F221" i="1"/>
  <c r="H220" i="1"/>
  <c r="F220" i="1"/>
  <c r="H218" i="1"/>
  <c r="F218" i="1"/>
  <c r="H217" i="1"/>
  <c r="F217" i="1"/>
  <c r="H215" i="1"/>
  <c r="F215" i="1"/>
  <c r="H214" i="1"/>
  <c r="F214" i="1"/>
  <c r="H213" i="1"/>
  <c r="F213" i="1"/>
  <c r="H212" i="1"/>
  <c r="F212" i="1"/>
  <c r="H210" i="1"/>
  <c r="F210" i="1"/>
  <c r="H209" i="1"/>
  <c r="F209" i="1"/>
  <c r="H208" i="1"/>
  <c r="F208" i="1"/>
  <c r="H207" i="1"/>
  <c r="F207" i="1"/>
  <c r="H205" i="1"/>
  <c r="F205" i="1"/>
  <c r="H204" i="1"/>
  <c r="F204" i="1"/>
  <c r="H203" i="1"/>
  <c r="F203" i="1"/>
  <c r="H202" i="1"/>
  <c r="F202" i="1"/>
  <c r="H200" i="1"/>
  <c r="F200" i="1"/>
  <c r="H199" i="1"/>
  <c r="F199" i="1"/>
  <c r="H198" i="1"/>
  <c r="F198" i="1"/>
  <c r="H197" i="1"/>
  <c r="F197" i="1"/>
  <c r="H195" i="1"/>
  <c r="F195" i="1"/>
  <c r="H194" i="1"/>
  <c r="F194" i="1"/>
  <c r="H193" i="1"/>
  <c r="F193" i="1"/>
  <c r="H192" i="1"/>
  <c r="F192" i="1"/>
  <c r="H190" i="1"/>
  <c r="F190" i="1"/>
  <c r="H189" i="1"/>
  <c r="F189" i="1"/>
  <c r="H188" i="1"/>
  <c r="F188" i="1"/>
  <c r="H187" i="1"/>
  <c r="F187" i="1"/>
  <c r="H185" i="1"/>
  <c r="F185" i="1"/>
  <c r="H184" i="1"/>
  <c r="F184" i="1"/>
  <c r="H182" i="1"/>
  <c r="F182" i="1"/>
  <c r="H181" i="1"/>
  <c r="F181" i="1"/>
  <c r="H179" i="1"/>
  <c r="F179" i="1"/>
  <c r="H178" i="1"/>
  <c r="F178" i="1"/>
  <c r="H176" i="1"/>
  <c r="F176" i="1"/>
  <c r="H175" i="1"/>
  <c r="F175" i="1"/>
  <c r="H173" i="1"/>
  <c r="F173" i="1"/>
  <c r="H172" i="1"/>
  <c r="F172" i="1"/>
  <c r="H171" i="1"/>
  <c r="F171" i="1"/>
  <c r="H170" i="1"/>
  <c r="F170" i="1"/>
  <c r="H168" i="1"/>
  <c r="F168" i="1"/>
  <c r="H167" i="1"/>
  <c r="F167" i="1"/>
  <c r="H166" i="1"/>
  <c r="F166" i="1"/>
  <c r="H165" i="1"/>
  <c r="F165" i="1"/>
  <c r="H163" i="1"/>
  <c r="F163" i="1"/>
  <c r="H162" i="1"/>
  <c r="F162" i="1"/>
  <c r="H161" i="1"/>
  <c r="F161" i="1"/>
  <c r="H160" i="1"/>
  <c r="F160" i="1"/>
  <c r="H158" i="1"/>
  <c r="F158" i="1"/>
  <c r="H157" i="1"/>
  <c r="F157" i="1"/>
  <c r="H156" i="1"/>
  <c r="F156" i="1"/>
  <c r="H155" i="1"/>
  <c r="F155" i="1"/>
  <c r="H153" i="1"/>
  <c r="F153" i="1"/>
  <c r="H152" i="1"/>
  <c r="F152" i="1"/>
  <c r="H151" i="1"/>
  <c r="F151" i="1"/>
  <c r="H150" i="1"/>
  <c r="F150" i="1"/>
  <c r="H148" i="1"/>
  <c r="F148" i="1"/>
  <c r="H147" i="1"/>
  <c r="F147" i="1"/>
  <c r="H146" i="1"/>
  <c r="F146" i="1"/>
  <c r="H145" i="1"/>
  <c r="F145" i="1"/>
  <c r="H143" i="1"/>
  <c r="F143" i="1"/>
  <c r="H142" i="1"/>
  <c r="F142" i="1"/>
  <c r="H141" i="1"/>
  <c r="F141" i="1"/>
  <c r="H140" i="1"/>
  <c r="F140" i="1"/>
  <c r="H138" i="1"/>
  <c r="F138" i="1"/>
  <c r="H137" i="1"/>
  <c r="F137" i="1"/>
  <c r="H136" i="1"/>
  <c r="F136" i="1"/>
  <c r="H135" i="1"/>
  <c r="F135" i="1"/>
  <c r="H129" i="1"/>
  <c r="F129" i="1"/>
  <c r="H128" i="1"/>
  <c r="F128" i="1"/>
  <c r="H126" i="1"/>
  <c r="F126" i="1"/>
  <c r="H125" i="1"/>
  <c r="F125" i="1"/>
  <c r="H123" i="1"/>
  <c r="F123" i="1"/>
  <c r="H122" i="1"/>
  <c r="F122" i="1"/>
  <c r="H120" i="1"/>
  <c r="F120" i="1"/>
  <c r="H119" i="1"/>
  <c r="F119" i="1"/>
  <c r="H117" i="1"/>
  <c r="F117" i="1"/>
  <c r="H116" i="1"/>
  <c r="F116" i="1"/>
  <c r="H114" i="1"/>
  <c r="F114" i="1"/>
  <c r="H113" i="1"/>
  <c r="F113" i="1"/>
  <c r="H111" i="1"/>
  <c r="F111" i="1"/>
  <c r="H110" i="1"/>
  <c r="F110" i="1"/>
  <c r="H108" i="1"/>
  <c r="F108" i="1"/>
  <c r="H107" i="1"/>
  <c r="F107" i="1"/>
  <c r="H106" i="1"/>
  <c r="F106" i="1"/>
  <c r="H105" i="1"/>
  <c r="F105" i="1"/>
  <c r="H103" i="1"/>
  <c r="F103" i="1"/>
  <c r="H102" i="1"/>
  <c r="F102" i="1"/>
  <c r="H101" i="1"/>
  <c r="F101" i="1"/>
  <c r="H100" i="1"/>
  <c r="F100" i="1"/>
  <c r="H98" i="1"/>
  <c r="F98" i="1"/>
  <c r="H97" i="1"/>
  <c r="F97" i="1"/>
  <c r="H96" i="1"/>
  <c r="F96" i="1"/>
  <c r="H95" i="1"/>
  <c r="F95" i="1"/>
  <c r="H93" i="1"/>
  <c r="F93" i="1"/>
  <c r="H92" i="1"/>
  <c r="F92" i="1"/>
  <c r="H90" i="1"/>
  <c r="F90" i="1"/>
  <c r="H88" i="1"/>
  <c r="F88" i="1"/>
  <c r="H86" i="1"/>
  <c r="F86" i="1"/>
  <c r="H85" i="1"/>
  <c r="F85" i="1"/>
  <c r="H83" i="1"/>
  <c r="F83" i="1"/>
  <c r="H82" i="1"/>
  <c r="F82" i="1"/>
  <c r="H81" i="1"/>
  <c r="F81" i="1"/>
  <c r="H80" i="1"/>
  <c r="F80" i="1"/>
  <c r="H78" i="1"/>
  <c r="F78" i="1"/>
  <c r="H77" i="1"/>
  <c r="F77" i="1"/>
  <c r="H76" i="1"/>
  <c r="F76" i="1"/>
  <c r="H75" i="1"/>
  <c r="F75" i="1"/>
  <c r="H73" i="1"/>
  <c r="F73" i="1"/>
  <c r="H72" i="1"/>
  <c r="F72" i="1"/>
  <c r="H71" i="1"/>
  <c r="F71" i="1"/>
  <c r="H70" i="1"/>
  <c r="F70" i="1"/>
  <c r="H68" i="1"/>
  <c r="F68" i="1"/>
  <c r="H67" i="1"/>
  <c r="F67" i="1"/>
  <c r="H66" i="1"/>
  <c r="F66" i="1"/>
  <c r="H65" i="1"/>
  <c r="F65" i="1"/>
  <c r="F40" i="1"/>
  <c r="E40" i="1"/>
  <c r="F38" i="1"/>
  <c r="E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<sst xmlns="http://schemas.openxmlformats.org/spreadsheetml/2006/main" count="444" uniqueCount="169">
  <si>
    <t>TEST NO.</t>
  </si>
  <si>
    <t>GENERAL QUESTIONS / COMMENTS</t>
  </si>
  <si>
    <t>COMMENTS / NOTES / ADDITIONS</t>
  </si>
  <si>
    <t>TEST DATE</t>
  </si>
  <si>
    <t>STC ID</t>
  </si>
  <si>
    <t>TECHNOLOGY</t>
  </si>
  <si>
    <t>TEST VERDICT</t>
  </si>
  <si>
    <t>VALUE USED IN
TEST STEP</t>
  </si>
  <si>
    <t>Power total</t>
  </si>
  <si>
    <t>Phase A</t>
  </si>
  <si>
    <t>Phase B</t>
  </si>
  <si>
    <t>Phase C</t>
  </si>
  <si>
    <t>Phase C / Phase A</t>
  </si>
  <si>
    <t>Phase B / Phase C</t>
  </si>
  <si>
    <t>Phase C / neutral</t>
  </si>
  <si>
    <t>Phase A / Phase B</t>
  </si>
  <si>
    <t>Phase B / neutral</t>
  </si>
  <si>
    <t>Phase A / neutral</t>
  </si>
  <si>
    <t>Frequency</t>
  </si>
  <si>
    <t>Usage</t>
  </si>
  <si>
    <t>MonitoringState_01</t>
  </si>
  <si>
    <t>MonitoringState_02</t>
  </si>
  <si>
    <t>MonitoringState_03</t>
  </si>
  <si>
    <t>Polling</t>
  </si>
  <si>
    <t>DATA TRANSMISSION</t>
  </si>
  <si>
    <t>TOTAL ACTIVE POWER [Watt]</t>
  </si>
  <si>
    <t>PHASE-SPECIFIC AC CURRENT [Ampere]</t>
  </si>
  <si>
    <t>AC FREQUENCY [Hertz]</t>
  </si>
  <si>
    <t>DATA POINT VALUE</t>
  </si>
  <si>
    <t>CONNECTED PHASES</t>
  </si>
  <si>
    <t>SUPPORTED DATA POINTS</t>
  </si>
  <si>
    <t>Total Active Power</t>
  </si>
  <si>
    <t>Phase-Specific AC Current</t>
  </si>
  <si>
    <t>Phase-Specific AC Voltage</t>
  </si>
  <si>
    <t>AC Frequency</t>
  </si>
  <si>
    <t>ATC_MPC_COM_PT_MAPolling_001</t>
  </si>
  <si>
    <t>ATC_MPC_COM_PT_MANotification_001</t>
  </si>
  <si>
    <t>Phase-Specific Active Power</t>
  </si>
  <si>
    <t>Total Consumed Energy</t>
  </si>
  <si>
    <t>Total Produced Energy</t>
  </si>
  <si>
    <t>PHASE-SPECIFIC ACTIVE POWER [Watt]</t>
  </si>
  <si>
    <t>Total produced energy</t>
  </si>
  <si>
    <t>Total consumed energy</t>
  </si>
  <si>
    <t>ATC_MPC_COM_PT_MUPolling_001</t>
  </si>
  <si>
    <t>ATC_MPC_COM_PT_MUNotification_001</t>
  </si>
  <si>
    <t>ATC_MPC_SCE1_PT_MUTotalActivePower_001</t>
  </si>
  <si>
    <t>ATC_MPC_SCE1_PT_MUPhaseActivePower_001</t>
  </si>
  <si>
    <t>ATC_MPC_SCE1_PT_MUPhaseActivePower_002</t>
  </si>
  <si>
    <t>ATC_MPC_SCE1_PT_MUPhaseActivePower_003</t>
  </si>
  <si>
    <t>ATC_MPC_SCE2_PT_MUTotalConsumedEnergy_001</t>
  </si>
  <si>
    <t>ATC_MPC_SCE2_PT_MUTotalConsumedEnergy_002</t>
  </si>
  <si>
    <t>ATC_MPC_SCE2_PT_MUTotalProducedEnergy_001</t>
  </si>
  <si>
    <t>ATC_MPC_SCE2_PT_MUTotalProducedEnergy_002</t>
  </si>
  <si>
    <t>ATC_MPC_SCE3_PT_MUActiveACCurrent_001</t>
  </si>
  <si>
    <t>ATC_MPC_SCE3_PT_MUActiveACCurrent_002</t>
  </si>
  <si>
    <t>ATC_MPC_SCE3_PT_MUActiveACCurrent_003</t>
  </si>
  <si>
    <t>ATC_MPC_SCE4_PT_MUACVoltage_001</t>
  </si>
  <si>
    <t>ATC_MPC_SCE4_PT_MUACVoltage_002</t>
  </si>
  <si>
    <t>ATC_MPC_SCE4_PT_MUACVoltage_003</t>
  </si>
  <si>
    <t>ATC_MPC_SCE4_PT_MUACVoltage_004</t>
  </si>
  <si>
    <t>ATC_MPC_SCE5_PT_MUFrequency_001</t>
  </si>
  <si>
    <t>ATC_MPC_SCE1_PT_MATotalActivePower_001</t>
  </si>
  <si>
    <t>ATC_MPC_SCE1_NT_MATotalActivePower_002</t>
  </si>
  <si>
    <t>ATC_MPC_SCE1_PT_MAPhaseActivePower_001</t>
  </si>
  <si>
    <t>ATC_MPC_SCE1_NT_MAPhaseActivePower_002</t>
  </si>
  <si>
    <t>ATC_MPC_SCE1_PT_MAPhaseActivePower_003</t>
  </si>
  <si>
    <t>ATC_MPC_SCE1_NT_MAPhaseActivePower_004</t>
  </si>
  <si>
    <t>ATC_MPC_SCE1_PT_MAPhaseActivePower_005</t>
  </si>
  <si>
    <t>ATC_MPC_SCE1_NT_MAPhaseActivePower_006</t>
  </si>
  <si>
    <t>ATC_MPC_SCE2_PT_MATotalConsumedEnergy_001</t>
  </si>
  <si>
    <t>ATC_MPC_SCE2_NT_MATotalConsumedEnergy_002</t>
  </si>
  <si>
    <t>ATC_MPC_SCE2_PT_MATotalProducedEnergy_001</t>
  </si>
  <si>
    <t>ATC_MPC_SCE2_NT_MATotalProducedEnergy_002</t>
  </si>
  <si>
    <t>ATC_MPC_SCE3_PT_MAActiveACCurrent_001</t>
  </si>
  <si>
    <t>ATC_MPC_SCE3_NT_MAActiveACCurrent_002</t>
  </si>
  <si>
    <t>ATC_MPC_SCE3_PT_MAActiveACCurrent_003</t>
  </si>
  <si>
    <t>ATC_MPC_SCE3_NT_MAActiveACCurrent_004</t>
  </si>
  <si>
    <t>ATC_MPC_SCE3_PT_MAActiveACCurrent_005</t>
  </si>
  <si>
    <t>ATC_MPC_SCE3_NT_MAActiveACCurrent_006</t>
  </si>
  <si>
    <t>ATC_MPC_SCE4_PT_MAACVoltage_001</t>
  </si>
  <si>
    <t>ATC_MPC_SCE4_NT_MAACVoltage_002</t>
  </si>
  <si>
    <t>ATC_MPC_SCE4_PT_MAACVoltage_003</t>
  </si>
  <si>
    <t>ATC_MPC_SCE4_NT_MAACVoltage_004</t>
  </si>
  <si>
    <t>ATC_MPC_SCE4_PT_MAACVoltage_005</t>
  </si>
  <si>
    <t>ATC_MPC_SCE4_NT_MAACVoltage_006</t>
  </si>
  <si>
    <t>ATC_MPC_SCE4_PT_MAACVoltage_007</t>
  </si>
  <si>
    <t>ATC_MPC_SCE4_NT_MAACVoltage_008</t>
  </si>
  <si>
    <t>ATC_MPC_SCE4_PT_MAACVoltage_009</t>
  </si>
  <si>
    <t>ATC_MPC_SCE4_NT_MAACVoltage_010</t>
  </si>
  <si>
    <t>ATC_MPC_SCE4_PT_MAACVoltage_011</t>
  </si>
  <si>
    <t>ATC_MPC_SCE4_NT_MAACVoltage_012</t>
  </si>
  <si>
    <t>ATC_MPC_SCE5_PT_MAFrequency_001</t>
  </si>
  <si>
    <t>ATC_MPC_SCE5_NT_MAFrequency_002</t>
  </si>
  <si>
    <t>Revisions</t>
  </si>
  <si>
    <t>Version</t>
  </si>
  <si>
    <t>Date/Editor</t>
  </si>
  <si>
    <t>Specific Test Cases</t>
  </si>
  <si>
    <t>Cells with a white background need to be manually filled in with device specific information or information taken from the test specification.</t>
  </si>
  <si>
    <t>Greyed-out cells are filled in automatically.</t>
  </si>
  <si>
    <t>Data transmission</t>
  </si>
  <si>
    <t>Supported data points</t>
  </si>
  <si>
    <t>Use the drop-down menu to select which data point is supported by the DUT. [YES/NO]</t>
  </si>
  <si>
    <t>Formatting rules</t>
  </si>
  <si>
    <t>Test verdict</t>
  </si>
  <si>
    <t>According to the chosen test verdict its background is colorized. [PASSED/FAILED/NOT APPLICABLE]</t>
  </si>
  <si>
    <t>Passed</t>
  </si>
  <si>
    <t>Failed</t>
  </si>
  <si>
    <t>Not applicable</t>
  </si>
  <si>
    <t>ENERGY DIRECTIONS</t>
  </si>
  <si>
    <t>POLLING INTERVAL
[seconds]</t>
  </si>
  <si>
    <t>Notification</t>
  </si>
  <si>
    <t>consume</t>
  </si>
  <si>
    <t>produce</t>
  </si>
  <si>
    <t>1.1</t>
  </si>
  <si>
    <t>1.2</t>
  </si>
  <si>
    <t>2.1</t>
  </si>
  <si>
    <t>2.2</t>
  </si>
  <si>
    <t>ATC_MPC_SCE4_PT_MUACVoltage_005</t>
  </si>
  <si>
    <t>ATC_MPC_SCE4_PT_MUACVoltage_006</t>
  </si>
  <si>
    <t>Interval [seconds]</t>
  </si>
  <si>
    <t>Data point values</t>
  </si>
  <si>
    <t>Don't care</t>
  </si>
  <si>
    <r>
      <t xml:space="preserve">The corresponding data point values shall be filled in as follows:
</t>
    </r>
    <r>
      <rPr>
        <i/>
        <sz val="10"/>
        <color theme="1"/>
        <rFont val="Century Gothic"/>
        <family val="2"/>
      </rPr>
      <t>MU as DUT</t>
    </r>
    <r>
      <rPr>
        <sz val="10"/>
        <color theme="1"/>
        <rFont val="Century Gothic"/>
        <family val="1"/>
      </rPr>
      <t xml:space="preserve">: The value received by the tester. (Optional: Compare the read value with the MU display.)
</t>
    </r>
    <r>
      <rPr>
        <i/>
        <sz val="10"/>
        <color theme="1"/>
        <rFont val="Century Gothic"/>
        <family val="2"/>
      </rPr>
      <t>MA as DUT</t>
    </r>
    <r>
      <rPr>
        <sz val="10"/>
        <color theme="1"/>
        <rFont val="Century Gothic"/>
        <family val="1"/>
      </rPr>
      <t>: The received value of the MA. (Mandatory: Compare the read value with the tester display.)</t>
    </r>
  </si>
  <si>
    <t>ENERGY DIRECTION</t>
  </si>
  <si>
    <t>RANGES OF THE DUT</t>
  </si>
  <si>
    <t>MIN</t>
  </si>
  <si>
    <t>MAX</t>
  </si>
  <si>
    <t>MONITORING
VALUE STATE</t>
  </si>
  <si>
    <t>any</t>
  </si>
  <si>
    <t>PHASE-SPECIFIC AC VOLTAGE [Volt]</t>
  </si>
  <si>
    <t>Use the drop-down menu to select whether the DUT uses polling or notification. [YES/NO]</t>
  </si>
  <si>
    <t>V1.0.0</t>
  </si>
  <si>
    <t>2024-04-30 - SH</t>
  </si>
  <si>
    <t xml:space="preserve"> </t>
  </si>
  <si>
    <t>Overall Status</t>
  </si>
  <si>
    <t>Number of ATCs</t>
  </si>
  <si>
    <t>Number of STCs</t>
  </si>
  <si>
    <t>Test cycle duration</t>
  </si>
  <si>
    <t>Execution Status</t>
  </si>
  <si>
    <t>Number of STCs executed</t>
  </si>
  <si>
    <t>Number of passed STCs</t>
  </si>
  <si>
    <t>Passed percentage</t>
  </si>
  <si>
    <t>Number of failed STCs</t>
  </si>
  <si>
    <t>Failed percentage</t>
  </si>
  <si>
    <t>Number of not applicable STCs</t>
  </si>
  <si>
    <t>Not applicable percentage</t>
  </si>
  <si>
    <t>SPINE</t>
  </si>
  <si>
    <t>Actor</t>
  </si>
  <si>
    <t>MANUFACTURER NAME</t>
  </si>
  <si>
    <t>MODEL</t>
  </si>
  <si>
    <t>DEVICE TYPE</t>
  </si>
  <si>
    <t>SCENARIO(S)</t>
  </si>
  <si>
    <t>e.g. 1, 2, 3, 4, 5</t>
  </si>
  <si>
    <t>NAME OF TESTER(S)</t>
  </si>
  <si>
    <t>MA</t>
  </si>
  <si>
    <t>Total</t>
  </si>
  <si>
    <t>MU</t>
  </si>
  <si>
    <t>TOTAL CONSUMED ENERGY [Watt-hour]</t>
  </si>
  <si>
    <t>TOTAL PRODUCED ENERGY [Watt-hour]</t>
  </si>
  <si>
    <t>V1.0.1</t>
  </si>
  <si>
    <t>2025-11-27 - SH &amp; MW</t>
  </si>
  <si>
    <t>MPC PARAMETER SHEET - LEGEND</t>
  </si>
  <si>
    <t>V1.0.2</t>
  </si>
  <si>
    <t>2026-07-17 - AS</t>
  </si>
  <si>
    <t>MPC PARAMETER SHEET - COMMENTS</t>
  </si>
  <si>
    <t>MPC PARAMETER SHEET - TEST CASES</t>
  </si>
  <si>
    <t>EEBus_UC_HighLevel_TestSpecification_MPC_V1.0.2</t>
  </si>
  <si>
    <t>TEST SPECIFICATION</t>
  </si>
  <si>
    <t xml:space="preserve">                  MPC PARAMETER SHEET -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</si>
</sst>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0"/>
      <name val="Century Gothic"/>
      <family val="2"/>
    </font>
    <font>
      <b/>
      <sz val="11"/>
      <color theme="0"/>
      <name val="Century Gothic"/>
      <family val="1"/>
    </font>
    <font>
      <b/>
      <sz val="10"/>
      <color theme="1"/>
      <name val="Century Gothic"/>
      <family val="2"/>
    </font>
    <font>
      <strike/>
      <sz val="10"/>
      <color rgb="FF000000"/>
      <name val="Century Gothic"/>
      <family val="2"/>
    </font>
    <font>
      <i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53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2" borderId="0" xfId="0" quotePrefix="1" applyFont="1" applyFill="1" applyAlignment="1">
      <alignment horizontal="left" vertical="center" wrapText="1"/>
    </xf>
    <xf numFmtId="0" fontId="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vertical="center" wrapText="1"/>
    </xf>
    <xf numFmtId="0" fontId="9" fillId="2" borderId="9" xfId="0" quotePrefix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vertical="top"/>
    </xf>
    <xf numFmtId="0" fontId="10" fillId="2" borderId="3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vertical="center" wrapText="1"/>
    </xf>
    <xf numFmtId="0" fontId="17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quotePrefix="1" applyFont="1" applyFill="1" applyAlignment="1">
      <alignment horizontal="left" vertical="center" wrapText="1" indent="1"/>
    </xf>
    <xf numFmtId="0" fontId="1" fillId="2" borderId="0" xfId="0" applyFont="1" applyFill="1"/>
    <xf numFmtId="0" fontId="0" fillId="2" borderId="0" xfId="0" applyFill="1"/>
    <xf numFmtId="0" fontId="12" fillId="2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 wrapText="1"/>
    </xf>
    <xf numFmtId="0" fontId="9" fillId="7" borderId="1" xfId="0" quotePrefix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0" fillId="2" borderId="0" xfId="0" applyFont="1" applyFill="1"/>
    <xf numFmtId="0" fontId="23" fillId="7" borderId="4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left" vertical="center" wrapText="1"/>
    </xf>
    <xf numFmtId="0" fontId="23" fillId="2" borderId="5" xfId="0" applyFont="1" applyFill="1" applyBorder="1" applyAlignment="1">
      <alignment horizontal="right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7" borderId="4" xfId="0" quotePrefix="1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horizontal="center" vertical="center" wrapText="1"/>
    </xf>
    <xf numFmtId="9" fontId="23" fillId="7" borderId="6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right" vertical="center" wrapText="1" indent="1"/>
    </xf>
    <xf numFmtId="0" fontId="22" fillId="4" borderId="6" xfId="0" applyFont="1" applyFill="1" applyBorder="1" applyAlignment="1">
      <alignment horizontal="right" vertical="center" wrapText="1" indent="1"/>
    </xf>
    <xf numFmtId="0" fontId="9" fillId="2" borderId="11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vertical="center" wrapText="1"/>
    </xf>
    <xf numFmtId="0" fontId="22" fillId="4" borderId="9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right" vertical="center" wrapText="1" indent="1"/>
    </xf>
    <xf numFmtId="0" fontId="22" fillId="4" borderId="4" xfId="0" applyFont="1" applyFill="1" applyBorder="1" applyAlignment="1">
      <alignment horizontal="right" vertical="center" wrapText="1" indent="1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9" fillId="2" borderId="14" xfId="0" applyNumberFormat="1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</cellXfs>
  <cellStyles count="4">
    <cellStyle name="Besuchter Hyperlink" xfId="2" builtinId="9" hidden="1"/>
    <cellStyle name="Link" xfId="1" builtinId="8" hidden="1"/>
    <cellStyle name="Normal 2" xfId="3" xr:uid="{00000000-0005-0000-0000-000004000000}"/>
    <cellStyle name="Standard" xfId="0" builtinId="0"/>
  </cellStyles>
  <dxfs count="15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7"/>
  <colors>
    <mruColors>
      <color rgb="FFA6C9EC"/>
      <color rgb="FFF7C7AC"/>
      <color rgb="FFE49EDD"/>
      <color rgb="FFB5E6A2"/>
      <color rgb="FFEAEEF3"/>
      <color rgb="FFDAF0F3"/>
      <color rgb="FFE6E6E6"/>
      <color rgb="FFFAFAFA"/>
      <color rgb="FFC8C8C8"/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81395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8190CDD2-CA89-4287-B883-D3E0EF651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1208625</xdr:colOff>
      <xdr:row>1</xdr:row>
      <xdr:rowOff>14790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83589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81395</xdr:rowOff>
    </xdr:from>
    <xdr:ext cx="1778826" cy="504895"/>
    <xdr:pic>
      <xdr:nvPicPr>
        <xdr:cNvPr id="5" name="Picture 4">
          <a:extLst>
            <a:ext uri="{FF2B5EF4-FFF2-40B4-BE49-F238E27FC236}">
              <a16:creationId xmlns:a16="http://schemas.microsoft.com/office/drawing/2014/main" id="{11054380-0069-4208-82EA-49E9C19C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571F-36C2-4674-B246-D654AA6C7458}">
  <sheetPr>
    <tabColor rgb="FFA6C9EC"/>
  </sheetPr>
  <dimension ref="A1:G33"/>
  <sheetViews>
    <sheetView tabSelected="1" workbookViewId="0"/>
  </sheetViews>
  <sheetFormatPr baseColWidth="10" defaultColWidth="0" defaultRowHeight="0" customHeight="1" zeroHeight="1" x14ac:dyDescent="0.2"/>
  <cols>
    <col min="1" max="1" width="3" style="43" customWidth="1"/>
    <col min="2" max="2" width="4.7109375" style="43" customWidth="1"/>
    <col min="3" max="3" width="32.7109375" style="43" customWidth="1"/>
    <col min="4" max="6" width="17.140625" style="43" customWidth="1"/>
    <col min="7" max="7" width="3" style="43" customWidth="1"/>
    <col min="8" max="16384" width="11.42578125" style="43" hidden="1"/>
  </cols>
  <sheetData>
    <row r="1" spans="1:7" s="4" customFormat="1" ht="45" customHeight="1" x14ac:dyDescent="0.2">
      <c r="A1" s="4" t="s">
        <v>133</v>
      </c>
      <c r="C1" s="126" t="s">
        <v>168</v>
      </c>
      <c r="D1" s="126"/>
      <c r="E1" s="126"/>
      <c r="F1" s="126"/>
      <c r="G1" s="126"/>
    </row>
    <row r="2" spans="1:7" s="4" customFormat="1" ht="19.5" customHeight="1" x14ac:dyDescent="0.2">
      <c r="C2" s="8"/>
      <c r="D2" s="8"/>
      <c r="E2" s="8"/>
      <c r="F2" s="8"/>
      <c r="G2" s="8"/>
    </row>
    <row r="3" spans="1:7" s="51" customFormat="1" ht="19.899999999999999" customHeight="1" x14ac:dyDescent="0.25">
      <c r="A3" s="73"/>
      <c r="B3" s="127" t="s">
        <v>148</v>
      </c>
      <c r="C3" s="127"/>
      <c r="D3" s="127"/>
      <c r="E3" s="127"/>
      <c r="F3" s="127"/>
      <c r="G3" s="11"/>
    </row>
    <row r="4" spans="1:7" s="51" customFormat="1" ht="27" customHeight="1" thickBot="1" x14ac:dyDescent="0.3">
      <c r="A4" s="73"/>
      <c r="B4" s="109"/>
      <c r="C4" s="110"/>
      <c r="D4" s="110"/>
      <c r="E4" s="110"/>
      <c r="F4" s="111"/>
      <c r="G4" s="19"/>
    </row>
    <row r="5" spans="1:7" s="51" customFormat="1" ht="19.899999999999999" customHeight="1" x14ac:dyDescent="0.25">
      <c r="A5" s="73"/>
      <c r="B5" s="127" t="s">
        <v>149</v>
      </c>
      <c r="C5" s="127"/>
      <c r="D5" s="127"/>
      <c r="E5" s="127"/>
      <c r="F5" s="127"/>
      <c r="G5" s="11"/>
    </row>
    <row r="6" spans="1:7" s="51" customFormat="1" ht="27" customHeight="1" thickBot="1" x14ac:dyDescent="0.3">
      <c r="A6" s="73"/>
      <c r="B6" s="109"/>
      <c r="C6" s="110"/>
      <c r="D6" s="110"/>
      <c r="E6" s="110"/>
      <c r="F6" s="111"/>
      <c r="G6" s="19"/>
    </row>
    <row r="7" spans="1:7" s="51" customFormat="1" ht="19.5" customHeight="1" x14ac:dyDescent="0.25">
      <c r="A7" s="73"/>
      <c r="B7" s="112" t="s">
        <v>150</v>
      </c>
      <c r="C7" s="112"/>
      <c r="D7" s="112"/>
      <c r="E7" s="112"/>
      <c r="F7" s="112"/>
      <c r="G7" s="11"/>
    </row>
    <row r="8" spans="1:7" s="51" customFormat="1" ht="27" customHeight="1" thickBot="1" x14ac:dyDescent="0.3">
      <c r="A8" s="73"/>
      <c r="B8" s="113"/>
      <c r="C8" s="114"/>
      <c r="D8" s="114"/>
      <c r="E8" s="114"/>
      <c r="F8" s="115"/>
      <c r="G8" s="19"/>
    </row>
    <row r="9" spans="1:7" s="51" customFormat="1" ht="19.5" customHeight="1" x14ac:dyDescent="0.25">
      <c r="A9" s="73"/>
      <c r="B9" s="112" t="s">
        <v>167</v>
      </c>
      <c r="C9" s="112"/>
      <c r="D9" s="112"/>
      <c r="E9" s="112"/>
      <c r="F9" s="112"/>
      <c r="G9" s="11"/>
    </row>
    <row r="10" spans="1:7" s="51" customFormat="1" ht="27" customHeight="1" thickBot="1" x14ac:dyDescent="0.3">
      <c r="A10" s="73"/>
      <c r="B10" s="116" t="s">
        <v>166</v>
      </c>
      <c r="C10" s="117"/>
      <c r="D10" s="117"/>
      <c r="E10" s="117"/>
      <c r="F10" s="117"/>
      <c r="G10" s="19"/>
    </row>
    <row r="11" spans="1:7" s="51" customFormat="1" ht="19.5" customHeight="1" x14ac:dyDescent="0.25">
      <c r="A11" s="73"/>
      <c r="B11" s="112" t="s">
        <v>151</v>
      </c>
      <c r="C11" s="112"/>
      <c r="D11" s="112"/>
      <c r="E11" s="112"/>
      <c r="F11" s="112"/>
      <c r="G11" s="11"/>
    </row>
    <row r="12" spans="1:7" s="51" customFormat="1" ht="27" customHeight="1" thickBot="1" x14ac:dyDescent="0.3">
      <c r="A12" s="73"/>
      <c r="B12" s="113" t="s">
        <v>152</v>
      </c>
      <c r="C12" s="114"/>
      <c r="D12" s="114"/>
      <c r="E12" s="114"/>
      <c r="F12" s="115"/>
      <c r="G12" s="19"/>
    </row>
    <row r="13" spans="1:7" s="51" customFormat="1" ht="19.899999999999999" customHeight="1" x14ac:dyDescent="0.25">
      <c r="A13" s="73"/>
      <c r="B13" s="112" t="s">
        <v>153</v>
      </c>
      <c r="C13" s="112"/>
      <c r="D13" s="112"/>
      <c r="E13" s="112"/>
      <c r="F13" s="112"/>
      <c r="G13" s="11"/>
    </row>
    <row r="14" spans="1:7" s="51" customFormat="1" ht="39.75" customHeight="1" thickBot="1" x14ac:dyDescent="0.3">
      <c r="A14" s="73"/>
      <c r="B14" s="118"/>
      <c r="C14" s="119"/>
      <c r="D14" s="119"/>
      <c r="E14" s="119"/>
      <c r="F14" s="120"/>
      <c r="G14" s="85"/>
    </row>
    <row r="15" spans="1:7" s="51" customFormat="1" ht="19.5" customHeight="1" x14ac:dyDescent="0.25">
      <c r="A15" s="73"/>
      <c r="B15" s="86"/>
      <c r="C15" s="87"/>
      <c r="D15" s="87"/>
      <c r="E15" s="87"/>
      <c r="F15" s="87"/>
      <c r="G15" s="55"/>
    </row>
    <row r="16" spans="1:7" s="4" customFormat="1" ht="19.5" customHeight="1" x14ac:dyDescent="0.2">
      <c r="B16" s="121" t="s">
        <v>134</v>
      </c>
      <c r="C16" s="122"/>
      <c r="D16" s="59" t="s">
        <v>154</v>
      </c>
      <c r="E16" s="59" t="s">
        <v>156</v>
      </c>
      <c r="F16" s="59" t="s">
        <v>155</v>
      </c>
      <c r="G16" s="14"/>
    </row>
    <row r="17" spans="2:7" s="4" customFormat="1" ht="19.5" customHeight="1" x14ac:dyDescent="0.2">
      <c r="B17" s="107" t="s">
        <v>135</v>
      </c>
      <c r="C17" s="108"/>
      <c r="D17" s="74" cm="1">
        <f t="array" ref="D17">SUMPRODUCT(--(ISNUMBER(SEARCH("ATC_MPC_",'Specific Test Cases'!B130:B257)) * ISNUMBER(SEARCH("MA",'Specific Test Cases'!B130:B257)) &gt; 0))</f>
        <v>34</v>
      </c>
      <c r="E17" s="74" cm="1">
        <f t="array" ref="E17">SUMPRODUCT(--(ISNUMBER(SEARCH("ATC_MPC_",'Specific Test Cases'!B60:B129)) * ISNUMBER(SEARCH("MU",'Specific Test Cases'!B60:B129)) &gt; 0))</f>
        <v>20</v>
      </c>
      <c r="F17" s="74" cm="1">
        <f t="array" ref="F17">SUMPRODUCT(--ISNUMBER(SEARCH("ATC_MPC_",'Specific Test Cases'!B60:B257)))</f>
        <v>54</v>
      </c>
      <c r="G17" s="14"/>
    </row>
    <row r="18" spans="2:7" s="4" customFormat="1" ht="19.5" customHeight="1" x14ac:dyDescent="0.2">
      <c r="B18" s="107" t="s">
        <v>136</v>
      </c>
      <c r="C18" s="108"/>
      <c r="D18" s="74" cm="1">
        <f t="array" ref="D18">SUMPRODUCT(--ISNUMBER(VALUE('Specific Test Cases'!B130:B257)))</f>
        <v>94</v>
      </c>
      <c r="E18" s="74" cm="1">
        <f t="array" ref="E18">SUMPRODUCT(--ISNUMBER(VALUE('Specific Test Cases'!B60:B129)))</f>
        <v>50</v>
      </c>
      <c r="F18" s="74" cm="1">
        <f t="array" ref="F18">SUMPRODUCT(--ISNUMBER(VALUE('Specific Test Cases'!B60:B257)))</f>
        <v>144</v>
      </c>
      <c r="G18" s="75"/>
    </row>
    <row r="19" spans="2:7" s="4" customFormat="1" ht="19.5" customHeight="1" x14ac:dyDescent="0.2">
      <c r="B19" s="107" t="s">
        <v>137</v>
      </c>
      <c r="C19" s="108"/>
      <c r="D19" s="123" t="str">
        <f>IF(COUNT('Specific Test Cases'!C57:C257)=0, "0 days", IF(MAX('Specific Test Cases'!C57:C257)=MIN('Specific Test Cases'!C57:C257), "1 day", TEXT(MAX('Specific Test Cases'!C57:C257)-MIN('Specific Test Cases'!C57:C257),"0") &amp; " days"))</f>
        <v>0 days</v>
      </c>
      <c r="E19" s="124"/>
      <c r="F19" s="125"/>
      <c r="G19" s="14"/>
    </row>
    <row r="20" spans="2:7" s="4" customFormat="1" ht="19.5" customHeight="1" x14ac:dyDescent="0.2">
      <c r="B20" s="76"/>
      <c r="C20" s="76"/>
      <c r="D20" s="76"/>
      <c r="E20" s="76"/>
      <c r="F20" s="77"/>
      <c r="G20" s="14"/>
    </row>
    <row r="21" spans="2:7" s="4" customFormat="1" ht="19.5" customHeight="1" x14ac:dyDescent="0.2">
      <c r="B21" s="121" t="s">
        <v>138</v>
      </c>
      <c r="C21" s="122"/>
      <c r="D21" s="59" t="s">
        <v>154</v>
      </c>
      <c r="E21" s="59" t="s">
        <v>156</v>
      </c>
      <c r="F21" s="59" t="s">
        <v>155</v>
      </c>
      <c r="G21" s="14"/>
    </row>
    <row r="22" spans="2:7" ht="19.5" customHeight="1" x14ac:dyDescent="0.2">
      <c r="B22" s="107" t="s">
        <v>139</v>
      </c>
      <c r="C22" s="108"/>
      <c r="D22" s="78" cm="1">
        <f t="array" ref="D22">SUMPRODUCT((('Specific Test Cases'!K130:K257="Passed")+('Specific Test Cases'!K130:K257="Failed")+('Specific Test Cases'!K130:K257="Not applicable"))*1)</f>
        <v>0</v>
      </c>
      <c r="E22" s="78" cm="1">
        <f t="array" ref="E22">SUMPRODUCT((('Specific Test Cases'!K60:K129="Passed")+('Specific Test Cases'!K60:K129="Failed")+('Specific Test Cases'!K60:K129="Not applicable"))*1)</f>
        <v>0</v>
      </c>
      <c r="F22" s="78" cm="1">
        <f t="array" ref="F22">SUMPRODUCT((('Specific Test Cases'!K60:K257="Passed")+('Specific Test Cases'!K60:K257="Failed")+('Specific Test Cases'!K60:K257="Not applicable"))*1)</f>
        <v>0</v>
      </c>
      <c r="G22" s="16"/>
    </row>
    <row r="23" spans="2:7" ht="19.5" customHeight="1" x14ac:dyDescent="0.2">
      <c r="B23" s="79"/>
      <c r="C23" s="83" t="s">
        <v>140</v>
      </c>
      <c r="D23" s="74">
        <f>COUNTIF('Specific Test Cases'!K130:K257,"Passed")</f>
        <v>0</v>
      </c>
      <c r="E23" s="80">
        <f>COUNTIF('Specific Test Cases'!K60:K129,"Passed")</f>
        <v>0</v>
      </c>
      <c r="F23" s="80">
        <f>COUNTIF('Specific Test Cases'!K60:K257,"Passed")</f>
        <v>0</v>
      </c>
    </row>
    <row r="24" spans="2:7" ht="19.5" customHeight="1" x14ac:dyDescent="0.2">
      <c r="B24" s="88"/>
      <c r="C24" s="84" t="s">
        <v>141</v>
      </c>
      <c r="D24" s="81">
        <f>IF(OR(D23=0,D22=0),0,D23/D22)</f>
        <v>0</v>
      </c>
      <c r="E24" s="81">
        <f>IF(OR(E23=0,E22=0),0,E23/E22)</f>
        <v>0</v>
      </c>
      <c r="F24" s="81">
        <f>IF(OR(F23=0,F22=0),0,F23/F22)</f>
        <v>0</v>
      </c>
    </row>
    <row r="25" spans="2:7" ht="19.5" customHeight="1" x14ac:dyDescent="0.2">
      <c r="B25" s="89"/>
      <c r="C25" s="83" t="s">
        <v>142</v>
      </c>
      <c r="D25" s="74">
        <f>COUNTIF('Specific Test Cases'!K130:K257,"Failed")</f>
        <v>0</v>
      </c>
      <c r="E25" s="80">
        <f>COUNTIF('Specific Test Cases'!K60:K129,"Failed")</f>
        <v>0</v>
      </c>
      <c r="F25" s="80">
        <f>COUNTIF('Specific Test Cases'!K60:K257,"Failed")</f>
        <v>0</v>
      </c>
    </row>
    <row r="26" spans="2:7" ht="19.5" customHeight="1" x14ac:dyDescent="0.2">
      <c r="B26" s="88"/>
      <c r="C26" s="84" t="s">
        <v>143</v>
      </c>
      <c r="D26" s="81">
        <f>IF(OR(D25=0,D22=0),0,D25/D22)</f>
        <v>0</v>
      </c>
      <c r="E26" s="81">
        <f>IF(OR(E25=0,E22=0),0,E25/E22)</f>
        <v>0</v>
      </c>
      <c r="F26" s="81">
        <f>IF(OR(F25=0,F22=0),0,F25/F22)</f>
        <v>0</v>
      </c>
    </row>
    <row r="27" spans="2:7" ht="19.5" customHeight="1" x14ac:dyDescent="0.2">
      <c r="B27" s="89"/>
      <c r="C27" s="83" t="s">
        <v>144</v>
      </c>
      <c r="D27" s="74">
        <f>COUNTIF('Specific Test Cases'!K130:K257,"Not applicable")</f>
        <v>0</v>
      </c>
      <c r="E27" s="80">
        <f>COUNTIF('Specific Test Cases'!K60:K129,"Not applicable")</f>
        <v>0</v>
      </c>
      <c r="F27" s="80">
        <f>COUNTIF('Specific Test Cases'!K60:K257,"Not applicable")</f>
        <v>0</v>
      </c>
    </row>
    <row r="28" spans="2:7" ht="19.5" customHeight="1" x14ac:dyDescent="0.2">
      <c r="B28" s="88"/>
      <c r="C28" s="84" t="s">
        <v>145</v>
      </c>
      <c r="D28" s="81">
        <f>IF(OR(D27=0,D22=0),0,D27/D22)</f>
        <v>0</v>
      </c>
      <c r="E28" s="81">
        <f t="shared" ref="E28" si="0">IF(OR(E27=0,E22=0),0,E27/E22)</f>
        <v>0</v>
      </c>
      <c r="F28" s="81">
        <f>IF(OR(F27=0,F22=0),0,F27/F22)</f>
        <v>0</v>
      </c>
    </row>
    <row r="29" spans="2:7" ht="12" customHeight="1" x14ac:dyDescent="0.2"/>
    <row r="30" spans="2:7" ht="19.5" hidden="1" customHeight="1" x14ac:dyDescent="0.2"/>
    <row r="33" ht="0" hidden="1" customHeight="1" x14ac:dyDescent="0.2"/>
  </sheetData>
  <mergeCells count="20">
    <mergeCell ref="C1:G1"/>
    <mergeCell ref="B3:F3"/>
    <mergeCell ref="B4:F4"/>
    <mergeCell ref="B5:F5"/>
    <mergeCell ref="B21:C21"/>
    <mergeCell ref="B22:C22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6:C16"/>
    <mergeCell ref="B17:C17"/>
    <mergeCell ref="B18:C18"/>
    <mergeCell ref="B19:C19"/>
    <mergeCell ref="D19:F19"/>
  </mergeCells>
  <dataValidations count="1">
    <dataValidation type="list" allowBlank="1" showInputMessage="1" showErrorMessage="1" sqref="B8:F8" xr:uid="{EC4BCDCD-C181-4C5B-877A-7057E9F12E88}">
      <formula1>"GCPH,EMS,EMOB,HVAC,INV,DOMA"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7AC"/>
    <pageSetUpPr fitToPage="1"/>
  </sheetPr>
  <dimension ref="A1:FB1005"/>
  <sheetViews>
    <sheetView showGridLines="0" zoomScaleNormal="100" zoomScalePageLayoutView="110" workbookViewId="0"/>
  </sheetViews>
  <sheetFormatPr baseColWidth="10" defaultColWidth="14.42578125" defaultRowHeight="15.75" customHeight="1" x14ac:dyDescent="0.2"/>
  <cols>
    <col min="1" max="1" width="3" customWidth="1"/>
    <col min="2" max="2" width="8.7109375" style="7" customWidth="1"/>
    <col min="3" max="4" width="20.7109375" customWidth="1"/>
    <col min="5" max="6" width="24.7109375" customWidth="1"/>
    <col min="7" max="7" width="25.7109375" customWidth="1"/>
    <col min="8" max="9" width="24.7109375" customWidth="1"/>
    <col min="10" max="11" width="20.7109375" customWidth="1"/>
    <col min="12" max="12" width="60.7109375" customWidth="1"/>
    <col min="13" max="15" width="14.42578125" customWidth="1"/>
  </cols>
  <sheetData>
    <row r="1" spans="1:158" s="2" customFormat="1" ht="45" customHeight="1" x14ac:dyDescent="0.2">
      <c r="C1" s="3"/>
      <c r="D1" s="104" t="s">
        <v>165</v>
      </c>
      <c r="E1" s="104"/>
      <c r="F1" s="104"/>
      <c r="G1" s="104"/>
      <c r="H1" s="3"/>
      <c r="I1" s="3"/>
      <c r="J1" s="3"/>
      <c r="K1" s="3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s="2" customFormat="1" ht="19.5" customHeight="1" x14ac:dyDescent="0.2">
      <c r="C2" s="3"/>
      <c r="D2" s="14"/>
      <c r="E2" s="14"/>
      <c r="F2" s="14"/>
      <c r="G2" s="14"/>
      <c r="H2" s="3"/>
      <c r="I2" s="3"/>
      <c r="J2" s="3"/>
      <c r="K2" s="3"/>
      <c r="L2" s="4"/>
      <c r="M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</row>
    <row r="3" spans="1:158" ht="21.75" customHeight="1" x14ac:dyDescent="0.25">
      <c r="A3" s="5"/>
      <c r="B3" s="136" t="s">
        <v>5</v>
      </c>
      <c r="C3" s="137"/>
      <c r="D3" s="138" t="s">
        <v>146</v>
      </c>
      <c r="E3" s="139"/>
      <c r="F3" s="9"/>
      <c r="G3" s="9"/>
      <c r="H3" s="16"/>
      <c r="I3" s="16"/>
      <c r="J3" s="5"/>
      <c r="K3" s="5"/>
      <c r="L3" s="5"/>
    </row>
    <row r="4" spans="1:158" ht="21.75" customHeight="1" x14ac:dyDescent="0.25">
      <c r="A4" s="5"/>
      <c r="B4" s="136" t="s">
        <v>147</v>
      </c>
      <c r="C4" s="137"/>
      <c r="D4" s="138"/>
      <c r="E4" s="139"/>
      <c r="F4" s="9"/>
      <c r="G4" s="9"/>
      <c r="H4" s="16"/>
      <c r="I4" s="16"/>
      <c r="J4" s="5"/>
      <c r="K4" s="5"/>
      <c r="L4" s="5"/>
    </row>
    <row r="5" spans="1:158" ht="19.5" customHeight="1" x14ac:dyDescent="0.25">
      <c r="A5" s="5"/>
      <c r="B5" s="22"/>
      <c r="C5" s="22"/>
      <c r="D5" s="21"/>
      <c r="E5" s="21"/>
      <c r="F5" s="9"/>
      <c r="G5" s="9"/>
      <c r="H5" s="16"/>
      <c r="I5" s="16"/>
      <c r="J5" s="5"/>
      <c r="K5" s="5"/>
      <c r="L5" s="5"/>
    </row>
    <row r="6" spans="1:158" ht="19.5" customHeight="1" x14ac:dyDescent="0.25">
      <c r="A6" s="5"/>
      <c r="B6" s="140" t="s">
        <v>24</v>
      </c>
      <c r="C6" s="141"/>
      <c r="D6" s="141"/>
      <c r="E6" s="141"/>
      <c r="F6" s="9"/>
      <c r="G6" s="9"/>
      <c r="H6" s="16"/>
      <c r="I6" s="16"/>
      <c r="J6" s="5"/>
      <c r="K6" s="5"/>
      <c r="L6" s="5"/>
    </row>
    <row r="7" spans="1:158" ht="19.5" customHeight="1" x14ac:dyDescent="0.25">
      <c r="A7" s="5"/>
      <c r="B7" s="23"/>
      <c r="C7" s="23"/>
      <c r="D7" s="28" t="s">
        <v>19</v>
      </c>
      <c r="E7" s="27" t="s">
        <v>119</v>
      </c>
      <c r="F7" s="9"/>
      <c r="G7" s="9"/>
      <c r="H7" s="16"/>
      <c r="I7" s="16"/>
      <c r="J7" s="5"/>
      <c r="K7" s="5"/>
      <c r="L7" s="5"/>
    </row>
    <row r="8" spans="1:158" ht="21.75" customHeight="1" x14ac:dyDescent="0.25">
      <c r="A8" s="5"/>
      <c r="B8" s="142" t="s">
        <v>23</v>
      </c>
      <c r="C8" s="142"/>
      <c r="D8" s="39"/>
      <c r="E8" s="25"/>
      <c r="F8" s="9"/>
      <c r="G8" s="9"/>
      <c r="H8" s="16"/>
      <c r="I8" s="16"/>
      <c r="J8" s="5"/>
      <c r="K8" s="5"/>
      <c r="L8" s="5"/>
    </row>
    <row r="9" spans="1:158" ht="21.75" customHeight="1" x14ac:dyDescent="0.25">
      <c r="A9" s="5"/>
      <c r="B9" s="142" t="s">
        <v>110</v>
      </c>
      <c r="C9" s="142"/>
      <c r="D9" s="39"/>
      <c r="E9" s="35"/>
      <c r="F9" s="9"/>
      <c r="G9" s="9"/>
      <c r="H9" s="16"/>
      <c r="I9" s="16"/>
      <c r="J9" s="5"/>
      <c r="K9" s="5"/>
      <c r="L9" s="5"/>
    </row>
    <row r="10" spans="1:158" ht="19.5" customHeight="1" x14ac:dyDescent="0.25">
      <c r="A10" s="5"/>
      <c r="B10" s="31"/>
      <c r="C10" s="31"/>
      <c r="D10" s="36"/>
      <c r="E10" s="36"/>
      <c r="F10" s="9"/>
      <c r="G10" s="9"/>
      <c r="H10" s="16"/>
      <c r="I10" s="16"/>
      <c r="J10" s="5"/>
      <c r="K10" s="5"/>
      <c r="L10" s="5"/>
    </row>
    <row r="11" spans="1:158" ht="19.5" customHeight="1" x14ac:dyDescent="0.25">
      <c r="A11" s="5"/>
      <c r="B11" s="140" t="s">
        <v>29</v>
      </c>
      <c r="C11" s="141"/>
      <c r="D11" s="143"/>
      <c r="E11" s="32"/>
      <c r="F11" s="9"/>
      <c r="G11" s="9"/>
      <c r="H11" s="16"/>
      <c r="I11" s="16"/>
      <c r="J11" s="5"/>
      <c r="K11" s="5"/>
      <c r="L11" s="5"/>
    </row>
    <row r="12" spans="1:158" ht="19.5" customHeight="1" x14ac:dyDescent="0.25">
      <c r="A12" s="5"/>
      <c r="B12" s="142" t="s">
        <v>9</v>
      </c>
      <c r="C12" s="142"/>
      <c r="D12" s="39"/>
      <c r="E12" s="36"/>
      <c r="F12" s="9"/>
      <c r="G12" s="9"/>
      <c r="H12" s="16"/>
      <c r="I12" s="16"/>
      <c r="J12" s="5"/>
      <c r="K12" s="5"/>
      <c r="L12" s="5"/>
    </row>
    <row r="13" spans="1:158" ht="19.5" customHeight="1" x14ac:dyDescent="0.25">
      <c r="A13" s="5"/>
      <c r="B13" s="142" t="s">
        <v>10</v>
      </c>
      <c r="C13" s="142"/>
      <c r="D13" s="39"/>
      <c r="E13" s="36"/>
      <c r="F13" s="9"/>
      <c r="G13" s="9"/>
      <c r="H13" s="16"/>
      <c r="I13" s="16"/>
      <c r="J13" s="5"/>
      <c r="K13" s="5"/>
      <c r="L13" s="5"/>
    </row>
    <row r="14" spans="1:158" ht="19.5" customHeight="1" x14ac:dyDescent="0.25">
      <c r="A14" s="5"/>
      <c r="B14" s="142" t="s">
        <v>11</v>
      </c>
      <c r="C14" s="142"/>
      <c r="D14" s="39"/>
      <c r="E14" s="36"/>
      <c r="F14" s="9"/>
      <c r="G14" s="9"/>
      <c r="H14" s="16"/>
      <c r="I14" s="16"/>
      <c r="J14" s="5"/>
      <c r="K14" s="5"/>
      <c r="L14" s="5"/>
    </row>
    <row r="15" spans="1:158" ht="19.5" customHeight="1" x14ac:dyDescent="0.25">
      <c r="A15" s="5"/>
      <c r="B15" s="37"/>
      <c r="C15" s="37"/>
      <c r="D15" s="36"/>
      <c r="E15" s="36"/>
      <c r="F15" s="9"/>
      <c r="G15" s="9"/>
      <c r="H15" s="16"/>
      <c r="I15" s="16"/>
      <c r="J15" s="5"/>
      <c r="K15" s="5"/>
      <c r="L15" s="5"/>
    </row>
    <row r="16" spans="1:158" ht="19.5" customHeight="1" x14ac:dyDescent="0.25">
      <c r="A16" s="5"/>
      <c r="B16" s="144" t="s">
        <v>30</v>
      </c>
      <c r="C16" s="145"/>
      <c r="D16" s="145"/>
      <c r="E16" s="36"/>
      <c r="F16" s="9"/>
      <c r="G16" s="9"/>
      <c r="H16" s="16"/>
      <c r="I16" s="16"/>
      <c r="J16" s="5"/>
      <c r="K16" s="5"/>
      <c r="L16" s="5"/>
    </row>
    <row r="17" spans="1:12" ht="19.5" customHeight="1" x14ac:dyDescent="0.25">
      <c r="A17" s="5"/>
      <c r="B17" s="129" t="s">
        <v>31</v>
      </c>
      <c r="C17" s="130"/>
      <c r="D17" s="39"/>
      <c r="E17" s="36"/>
      <c r="F17" s="9"/>
      <c r="G17" s="9"/>
      <c r="H17" s="16"/>
      <c r="I17" s="16"/>
      <c r="J17" s="5"/>
      <c r="K17" s="5"/>
      <c r="L17" s="5"/>
    </row>
    <row r="18" spans="1:12" ht="19.5" customHeight="1" x14ac:dyDescent="0.25">
      <c r="A18" s="5"/>
      <c r="B18" s="129" t="s">
        <v>37</v>
      </c>
      <c r="C18" s="130"/>
      <c r="D18" s="39"/>
      <c r="E18" s="36"/>
      <c r="F18" s="9"/>
      <c r="G18" s="9"/>
      <c r="H18" s="16"/>
      <c r="I18" s="16"/>
      <c r="J18" s="5"/>
      <c r="K18" s="5"/>
      <c r="L18" s="5"/>
    </row>
    <row r="19" spans="1:12" ht="19.5" customHeight="1" x14ac:dyDescent="0.25">
      <c r="A19" s="5"/>
      <c r="B19" s="129" t="s">
        <v>38</v>
      </c>
      <c r="C19" s="130"/>
      <c r="D19" s="39"/>
      <c r="E19" s="36"/>
      <c r="F19" s="9"/>
      <c r="G19" s="9"/>
      <c r="H19" s="16"/>
      <c r="I19" s="16"/>
      <c r="J19" s="5"/>
      <c r="K19" s="5"/>
      <c r="L19" s="5"/>
    </row>
    <row r="20" spans="1:12" ht="19.5" customHeight="1" x14ac:dyDescent="0.25">
      <c r="A20" s="5"/>
      <c r="B20" s="129" t="s">
        <v>39</v>
      </c>
      <c r="C20" s="130"/>
      <c r="D20" s="39"/>
      <c r="E20" s="36"/>
      <c r="F20" s="9"/>
      <c r="G20" s="9"/>
      <c r="H20" s="16"/>
      <c r="I20" s="16"/>
      <c r="J20" s="5"/>
      <c r="K20" s="5"/>
      <c r="L20" s="5"/>
    </row>
    <row r="21" spans="1:12" ht="19.5" customHeight="1" x14ac:dyDescent="0.25">
      <c r="A21" s="5"/>
      <c r="B21" s="129" t="s">
        <v>32</v>
      </c>
      <c r="C21" s="130"/>
      <c r="D21" s="39"/>
      <c r="E21" s="36"/>
      <c r="F21" s="9"/>
      <c r="G21" s="9"/>
      <c r="H21" s="16"/>
      <c r="I21" s="16"/>
      <c r="J21" s="5"/>
      <c r="K21" s="5"/>
      <c r="L21" s="5"/>
    </row>
    <row r="22" spans="1:12" ht="19.5" customHeight="1" x14ac:dyDescent="0.25">
      <c r="A22" s="5"/>
      <c r="B22" s="129" t="s">
        <v>33</v>
      </c>
      <c r="C22" s="130"/>
      <c r="D22" s="39"/>
      <c r="E22" s="36"/>
      <c r="F22" s="9"/>
      <c r="G22" s="9"/>
      <c r="H22" s="16"/>
      <c r="I22" s="16"/>
      <c r="J22" s="5"/>
      <c r="K22" s="5"/>
      <c r="L22" s="5"/>
    </row>
    <row r="23" spans="1:12" ht="19.5" customHeight="1" x14ac:dyDescent="0.25">
      <c r="A23" s="5"/>
      <c r="B23" s="129" t="s">
        <v>34</v>
      </c>
      <c r="C23" s="130"/>
      <c r="D23" s="39"/>
      <c r="E23" s="36"/>
      <c r="F23" s="9"/>
      <c r="G23" s="55"/>
      <c r="H23" s="16"/>
      <c r="I23" s="16"/>
      <c r="J23" s="5"/>
      <c r="K23" s="5"/>
      <c r="L23" s="5"/>
    </row>
    <row r="24" spans="1:12" ht="19.5" customHeight="1" x14ac:dyDescent="0.25">
      <c r="A24" s="5"/>
      <c r="B24" s="37"/>
      <c r="C24" s="37"/>
      <c r="D24" s="38"/>
      <c r="E24" s="36"/>
      <c r="F24" s="9"/>
      <c r="G24" s="55"/>
      <c r="H24" s="16"/>
      <c r="I24" s="16"/>
      <c r="J24" s="5"/>
      <c r="K24" s="5"/>
      <c r="L24" s="5"/>
    </row>
    <row r="25" spans="1:12" ht="19.5" customHeight="1" x14ac:dyDescent="0.25">
      <c r="A25" s="5"/>
      <c r="B25" s="33"/>
      <c r="C25" s="34"/>
      <c r="D25" s="26" t="s">
        <v>123</v>
      </c>
      <c r="E25" s="129" t="s">
        <v>124</v>
      </c>
      <c r="F25" s="135"/>
      <c r="G25" s="37"/>
      <c r="H25" s="16"/>
      <c r="I25" s="16"/>
      <c r="J25" s="5"/>
      <c r="K25" s="5"/>
      <c r="L25" s="5"/>
    </row>
    <row r="26" spans="1:12" ht="30" customHeight="1" x14ac:dyDescent="0.25">
      <c r="A26" s="5"/>
      <c r="B26" s="129" t="s">
        <v>25</v>
      </c>
      <c r="C26" s="130"/>
      <c r="D26" s="59"/>
      <c r="E26" s="24" t="s">
        <v>125</v>
      </c>
      <c r="F26" s="24" t="s">
        <v>126</v>
      </c>
      <c r="G26" s="37"/>
      <c r="H26" s="17"/>
      <c r="I26" s="17"/>
      <c r="J26" s="5"/>
      <c r="K26" s="5"/>
      <c r="L26" s="5"/>
    </row>
    <row r="27" spans="1:12" ht="21.95" customHeight="1" x14ac:dyDescent="0.25">
      <c r="A27" s="5"/>
      <c r="B27" s="131" t="s">
        <v>8</v>
      </c>
      <c r="C27" s="132"/>
      <c r="D27" s="60" t="s">
        <v>111</v>
      </c>
      <c r="E27" s="25"/>
      <c r="F27" s="25"/>
      <c r="G27" s="36"/>
      <c r="H27" s="15"/>
      <c r="I27" s="15"/>
      <c r="J27" s="5"/>
      <c r="K27" s="5"/>
      <c r="L27" s="5"/>
    </row>
    <row r="28" spans="1:12" ht="21.95" customHeight="1" x14ac:dyDescent="0.25">
      <c r="A28" s="5"/>
      <c r="B28" s="133"/>
      <c r="C28" s="134"/>
      <c r="D28" s="60" t="s">
        <v>112</v>
      </c>
      <c r="E28" s="25"/>
      <c r="F28" s="25"/>
      <c r="G28" s="36"/>
      <c r="H28" s="15"/>
      <c r="I28" s="15"/>
      <c r="J28" s="5"/>
      <c r="K28" s="5"/>
      <c r="L28" s="5"/>
    </row>
    <row r="29" spans="1:12" ht="30" customHeight="1" x14ac:dyDescent="0.25">
      <c r="A29" s="5"/>
      <c r="B29" s="129" t="s">
        <v>40</v>
      </c>
      <c r="C29" s="130"/>
      <c r="D29" s="59"/>
      <c r="E29" s="24" t="s">
        <v>125</v>
      </c>
      <c r="F29" s="24" t="s">
        <v>126</v>
      </c>
      <c r="G29" s="37"/>
      <c r="H29" s="17"/>
      <c r="I29" s="17"/>
      <c r="J29" s="5"/>
      <c r="K29" s="5"/>
      <c r="L29" s="5"/>
    </row>
    <row r="30" spans="1:12" ht="21.95" customHeight="1" x14ac:dyDescent="0.25">
      <c r="A30" s="5"/>
      <c r="B30" s="131" t="s">
        <v>9</v>
      </c>
      <c r="C30" s="132"/>
      <c r="D30" s="60" t="s">
        <v>111</v>
      </c>
      <c r="E30" s="25"/>
      <c r="F30" s="25"/>
      <c r="G30" s="36"/>
      <c r="H30" s="15"/>
      <c r="I30" s="15"/>
      <c r="J30" s="5"/>
      <c r="K30" s="5"/>
      <c r="L30" s="5"/>
    </row>
    <row r="31" spans="1:12" ht="21.95" customHeight="1" x14ac:dyDescent="0.25">
      <c r="A31" s="5"/>
      <c r="B31" s="133"/>
      <c r="C31" s="134"/>
      <c r="D31" s="60" t="s">
        <v>112</v>
      </c>
      <c r="E31" s="25"/>
      <c r="F31" s="25"/>
      <c r="G31" s="36"/>
      <c r="H31" s="15"/>
      <c r="I31" s="15"/>
      <c r="J31" s="5"/>
      <c r="K31" s="5"/>
      <c r="L31" s="5"/>
    </row>
    <row r="32" spans="1:12" ht="21.95" customHeight="1" x14ac:dyDescent="0.25">
      <c r="A32" s="5"/>
      <c r="B32" s="131" t="s">
        <v>10</v>
      </c>
      <c r="C32" s="132"/>
      <c r="D32" s="60" t="s">
        <v>111</v>
      </c>
      <c r="E32" s="25"/>
      <c r="F32" s="25"/>
      <c r="G32" s="36"/>
      <c r="H32" s="15"/>
      <c r="I32" s="15"/>
      <c r="J32" s="5"/>
      <c r="K32" s="5"/>
      <c r="L32" s="5"/>
    </row>
    <row r="33" spans="1:12" ht="21.95" customHeight="1" x14ac:dyDescent="0.25">
      <c r="A33" s="5"/>
      <c r="B33" s="133"/>
      <c r="C33" s="134"/>
      <c r="D33" s="60" t="s">
        <v>112</v>
      </c>
      <c r="E33" s="25"/>
      <c r="F33" s="25"/>
      <c r="G33" s="36"/>
      <c r="H33" s="15"/>
      <c r="I33" s="15"/>
      <c r="J33" s="5"/>
      <c r="K33" s="5"/>
      <c r="L33" s="5"/>
    </row>
    <row r="34" spans="1:12" ht="21.95" customHeight="1" x14ac:dyDescent="0.25">
      <c r="A34" s="5"/>
      <c r="B34" s="131" t="s">
        <v>11</v>
      </c>
      <c r="C34" s="132"/>
      <c r="D34" s="60" t="s">
        <v>111</v>
      </c>
      <c r="E34" s="25"/>
      <c r="F34" s="25"/>
      <c r="G34" s="36"/>
      <c r="H34" s="15"/>
      <c r="I34" s="15"/>
      <c r="J34" s="5"/>
      <c r="K34" s="5"/>
      <c r="L34" s="5"/>
    </row>
    <row r="35" spans="1:12" ht="21.95" customHeight="1" x14ac:dyDescent="0.25">
      <c r="A35" s="5"/>
      <c r="B35" s="133"/>
      <c r="C35" s="134"/>
      <c r="D35" s="60" t="s">
        <v>112</v>
      </c>
      <c r="E35" s="25"/>
      <c r="F35" s="25"/>
      <c r="G35" s="36"/>
      <c r="H35" s="15"/>
      <c r="I35" s="15"/>
      <c r="J35" s="5"/>
      <c r="K35" s="5"/>
      <c r="L35" s="5"/>
    </row>
    <row r="36" spans="1:12" ht="30" customHeight="1" x14ac:dyDescent="0.25">
      <c r="A36" s="5"/>
      <c r="B36" s="129" t="s">
        <v>157</v>
      </c>
      <c r="C36" s="130"/>
      <c r="D36" s="59"/>
      <c r="E36" s="24" t="s">
        <v>125</v>
      </c>
      <c r="F36" s="24" t="s">
        <v>126</v>
      </c>
      <c r="G36" s="37"/>
      <c r="H36" s="17"/>
      <c r="I36" s="17"/>
      <c r="J36" s="5"/>
      <c r="K36" s="5"/>
      <c r="L36" s="5"/>
    </row>
    <row r="37" spans="1:12" ht="21.95" customHeight="1" x14ac:dyDescent="0.25">
      <c r="A37" s="5"/>
      <c r="B37" s="131" t="s">
        <v>42</v>
      </c>
      <c r="C37" s="132"/>
      <c r="D37" s="60" t="s">
        <v>111</v>
      </c>
      <c r="E37" s="25"/>
      <c r="F37" s="25"/>
      <c r="G37" s="36"/>
      <c r="H37" s="15"/>
      <c r="I37" s="15"/>
      <c r="J37" s="5"/>
      <c r="K37" s="5"/>
      <c r="L37" s="5"/>
    </row>
    <row r="38" spans="1:12" ht="21.95" customHeight="1" x14ac:dyDescent="0.25">
      <c r="A38" s="5"/>
      <c r="B38" s="133"/>
      <c r="C38" s="134"/>
      <c r="D38" s="60" t="s">
        <v>112</v>
      </c>
      <c r="E38" s="60" t="str">
        <f>IF(E41="","",E41)</f>
        <v/>
      </c>
      <c r="F38" s="60" t="str">
        <f>IF(F41="","",F41)</f>
        <v/>
      </c>
      <c r="G38" s="36"/>
      <c r="H38" s="15"/>
      <c r="I38" s="15"/>
      <c r="J38" s="5"/>
      <c r="K38" s="5"/>
      <c r="L38" s="5"/>
    </row>
    <row r="39" spans="1:12" ht="30" customHeight="1" x14ac:dyDescent="0.25">
      <c r="A39" s="5"/>
      <c r="B39" s="129" t="s">
        <v>158</v>
      </c>
      <c r="C39" s="130"/>
      <c r="D39" s="59"/>
      <c r="E39" s="24" t="s">
        <v>125</v>
      </c>
      <c r="F39" s="24" t="s">
        <v>126</v>
      </c>
      <c r="G39" s="37"/>
      <c r="H39" s="17"/>
      <c r="I39" s="17"/>
      <c r="J39" s="5"/>
      <c r="K39" s="5"/>
      <c r="L39" s="5"/>
    </row>
    <row r="40" spans="1:12" ht="21.95" customHeight="1" x14ac:dyDescent="0.25">
      <c r="A40" s="5"/>
      <c r="B40" s="131" t="s">
        <v>41</v>
      </c>
      <c r="C40" s="132"/>
      <c r="D40" s="60" t="s">
        <v>111</v>
      </c>
      <c r="E40" s="60" t="str">
        <f>IF(E37="","",E37)</f>
        <v/>
      </c>
      <c r="F40" s="60" t="str">
        <f>IF(F37="","",F37)</f>
        <v/>
      </c>
      <c r="G40" s="36"/>
      <c r="H40" s="15"/>
      <c r="I40" s="15"/>
      <c r="J40" s="5"/>
      <c r="K40" s="5"/>
      <c r="L40" s="5"/>
    </row>
    <row r="41" spans="1:12" ht="21.95" customHeight="1" x14ac:dyDescent="0.25">
      <c r="A41" s="5"/>
      <c r="B41" s="133"/>
      <c r="C41" s="134"/>
      <c r="D41" s="60" t="s">
        <v>112</v>
      </c>
      <c r="E41" s="25"/>
      <c r="F41" s="25"/>
      <c r="G41" s="36"/>
      <c r="H41" s="15"/>
      <c r="I41" s="15"/>
      <c r="J41" s="5"/>
      <c r="K41" s="5"/>
      <c r="L41" s="5"/>
    </row>
    <row r="42" spans="1:12" ht="30" customHeight="1" x14ac:dyDescent="0.25">
      <c r="A42" s="5"/>
      <c r="B42" s="129" t="s">
        <v>26</v>
      </c>
      <c r="C42" s="130"/>
      <c r="D42" s="59"/>
      <c r="E42" s="24" t="s">
        <v>125</v>
      </c>
      <c r="F42" s="24" t="s">
        <v>126</v>
      </c>
      <c r="G42" s="37"/>
      <c r="H42" s="17"/>
      <c r="I42" s="17"/>
      <c r="J42" s="5"/>
      <c r="K42" s="5"/>
      <c r="L42" s="5"/>
    </row>
    <row r="43" spans="1:12" ht="20.100000000000001" customHeight="1" x14ac:dyDescent="0.25">
      <c r="A43" s="5"/>
      <c r="B43" s="131" t="s">
        <v>9</v>
      </c>
      <c r="C43" s="132"/>
      <c r="D43" s="60" t="s">
        <v>111</v>
      </c>
      <c r="E43" s="25"/>
      <c r="F43" s="25"/>
      <c r="G43" s="36"/>
      <c r="H43" s="17"/>
      <c r="I43" s="17"/>
      <c r="J43" s="5"/>
      <c r="K43" s="5"/>
      <c r="L43" s="5"/>
    </row>
    <row r="44" spans="1:12" ht="20.100000000000001" customHeight="1" x14ac:dyDescent="0.25">
      <c r="A44" s="5"/>
      <c r="B44" s="133"/>
      <c r="C44" s="134"/>
      <c r="D44" s="60" t="s">
        <v>112</v>
      </c>
      <c r="E44" s="25"/>
      <c r="F44" s="25"/>
      <c r="G44" s="36"/>
      <c r="H44" s="17"/>
      <c r="I44" s="17"/>
      <c r="J44" s="5"/>
      <c r="K44" s="5"/>
      <c r="L44" s="5"/>
    </row>
    <row r="45" spans="1:12" ht="20.100000000000001" customHeight="1" x14ac:dyDescent="0.25">
      <c r="A45" s="5"/>
      <c r="B45" s="131" t="s">
        <v>10</v>
      </c>
      <c r="C45" s="132"/>
      <c r="D45" s="60" t="s">
        <v>111</v>
      </c>
      <c r="E45" s="25"/>
      <c r="F45" s="25"/>
      <c r="G45" s="36"/>
      <c r="H45" s="17"/>
      <c r="I45" s="17"/>
      <c r="J45" s="5"/>
      <c r="K45" s="5"/>
      <c r="L45" s="5"/>
    </row>
    <row r="46" spans="1:12" ht="20.100000000000001" customHeight="1" x14ac:dyDescent="0.25">
      <c r="A46" s="5"/>
      <c r="B46" s="133"/>
      <c r="C46" s="134"/>
      <c r="D46" s="60" t="s">
        <v>112</v>
      </c>
      <c r="E46" s="25"/>
      <c r="F46" s="25"/>
      <c r="G46" s="36"/>
      <c r="H46" s="17"/>
      <c r="I46" s="17"/>
      <c r="J46" s="5"/>
      <c r="K46" s="5"/>
      <c r="L46" s="5"/>
    </row>
    <row r="47" spans="1:12" ht="20.100000000000001" customHeight="1" x14ac:dyDescent="0.25">
      <c r="A47" s="5"/>
      <c r="B47" s="131" t="s">
        <v>11</v>
      </c>
      <c r="C47" s="132"/>
      <c r="D47" s="60" t="s">
        <v>111</v>
      </c>
      <c r="E47" s="25"/>
      <c r="F47" s="25"/>
      <c r="G47" s="36"/>
      <c r="H47" s="17"/>
      <c r="I47" s="17"/>
      <c r="J47" s="5"/>
      <c r="K47" s="5"/>
      <c r="L47" s="5"/>
    </row>
    <row r="48" spans="1:12" ht="20.100000000000001" customHeight="1" x14ac:dyDescent="0.25">
      <c r="A48" s="5"/>
      <c r="B48" s="133"/>
      <c r="C48" s="134"/>
      <c r="D48" s="60" t="s">
        <v>112</v>
      </c>
      <c r="E48" s="25"/>
      <c r="F48" s="25"/>
      <c r="G48" s="36"/>
      <c r="H48" s="17"/>
      <c r="I48" s="17"/>
      <c r="J48" s="5"/>
      <c r="K48" s="5"/>
      <c r="L48" s="5"/>
    </row>
    <row r="49" spans="1:12" ht="30" customHeight="1" x14ac:dyDescent="0.25">
      <c r="A49" s="5"/>
      <c r="B49" s="129" t="s">
        <v>129</v>
      </c>
      <c r="C49" s="130"/>
      <c r="D49" s="59"/>
      <c r="E49" s="24" t="s">
        <v>125</v>
      </c>
      <c r="F49" s="24" t="s">
        <v>126</v>
      </c>
      <c r="G49" s="37"/>
      <c r="H49" s="17"/>
      <c r="I49" s="17"/>
      <c r="J49" s="5"/>
      <c r="K49" s="5"/>
      <c r="L49" s="5"/>
    </row>
    <row r="50" spans="1:12" ht="20.100000000000001" customHeight="1" x14ac:dyDescent="0.25">
      <c r="A50" s="5"/>
      <c r="B50" s="129" t="s">
        <v>17</v>
      </c>
      <c r="C50" s="130"/>
      <c r="D50" s="61" t="s">
        <v>128</v>
      </c>
      <c r="E50" s="25"/>
      <c r="F50" s="25"/>
      <c r="G50" s="36"/>
      <c r="H50" s="17"/>
      <c r="I50" s="17"/>
      <c r="J50" s="5"/>
      <c r="K50" s="5"/>
      <c r="L50" s="5"/>
    </row>
    <row r="51" spans="1:12" ht="20.100000000000001" customHeight="1" x14ac:dyDescent="0.25">
      <c r="A51" s="5"/>
      <c r="B51" s="129" t="s">
        <v>16</v>
      </c>
      <c r="C51" s="130"/>
      <c r="D51" s="61" t="s">
        <v>128</v>
      </c>
      <c r="E51" s="25"/>
      <c r="F51" s="25"/>
      <c r="G51" s="36"/>
      <c r="H51" s="17"/>
      <c r="I51" s="17"/>
      <c r="J51" s="5"/>
      <c r="K51" s="5"/>
      <c r="L51" s="5"/>
    </row>
    <row r="52" spans="1:12" ht="20.100000000000001" customHeight="1" x14ac:dyDescent="0.25">
      <c r="A52" s="5"/>
      <c r="B52" s="129" t="s">
        <v>14</v>
      </c>
      <c r="C52" s="130"/>
      <c r="D52" s="61" t="s">
        <v>128</v>
      </c>
      <c r="E52" s="25"/>
      <c r="F52" s="25"/>
      <c r="G52" s="36"/>
      <c r="H52" s="17"/>
      <c r="I52" s="17"/>
      <c r="J52" s="5"/>
      <c r="K52" s="5"/>
      <c r="L52" s="5"/>
    </row>
    <row r="53" spans="1:12" ht="20.100000000000001" customHeight="1" x14ac:dyDescent="0.25">
      <c r="A53" s="5"/>
      <c r="B53" s="129" t="s">
        <v>15</v>
      </c>
      <c r="C53" s="130"/>
      <c r="D53" s="61" t="s">
        <v>128</v>
      </c>
      <c r="E53" s="25"/>
      <c r="F53" s="25"/>
      <c r="G53" s="36"/>
      <c r="H53" s="29"/>
      <c r="I53" s="29"/>
      <c r="J53" s="5"/>
      <c r="K53" s="5"/>
      <c r="L53" s="5"/>
    </row>
    <row r="54" spans="1:12" ht="20.100000000000001" customHeight="1" x14ac:dyDescent="0.25">
      <c r="A54" s="5"/>
      <c r="B54" s="129" t="s">
        <v>13</v>
      </c>
      <c r="C54" s="130"/>
      <c r="D54" s="61" t="s">
        <v>128</v>
      </c>
      <c r="E54" s="25"/>
      <c r="F54" s="25"/>
      <c r="G54" s="36"/>
      <c r="H54" s="29"/>
      <c r="I54" s="29"/>
      <c r="J54" s="5"/>
      <c r="K54" s="5"/>
      <c r="L54" s="5"/>
    </row>
    <row r="55" spans="1:12" ht="20.100000000000001" customHeight="1" x14ac:dyDescent="0.25">
      <c r="A55" s="5"/>
      <c r="B55" s="129" t="s">
        <v>12</v>
      </c>
      <c r="C55" s="130"/>
      <c r="D55" s="61" t="s">
        <v>128</v>
      </c>
      <c r="E55" s="25"/>
      <c r="F55" s="25"/>
      <c r="G55" s="36"/>
      <c r="H55" s="17"/>
      <c r="I55" s="17"/>
      <c r="J55" s="5"/>
      <c r="K55" s="5"/>
      <c r="L55" s="5"/>
    </row>
    <row r="56" spans="1:12" ht="30" customHeight="1" x14ac:dyDescent="0.25">
      <c r="A56" s="5"/>
      <c r="B56" s="129" t="s">
        <v>27</v>
      </c>
      <c r="C56" s="130"/>
      <c r="D56" s="59"/>
      <c r="E56" s="24" t="s">
        <v>125</v>
      </c>
      <c r="F56" s="24" t="s">
        <v>126</v>
      </c>
      <c r="G56" s="37"/>
      <c r="H56" s="17"/>
      <c r="K56" s="5"/>
      <c r="L56" s="5"/>
    </row>
    <row r="57" spans="1:12" ht="20.100000000000001" customHeight="1" x14ac:dyDescent="0.25">
      <c r="A57" s="5"/>
      <c r="B57" s="129" t="s">
        <v>18</v>
      </c>
      <c r="C57" s="130"/>
      <c r="D57" s="61" t="s">
        <v>128</v>
      </c>
      <c r="E57" s="25"/>
      <c r="F57" s="25"/>
      <c r="G57" s="36"/>
      <c r="H57" s="17"/>
      <c r="I57" s="17"/>
      <c r="J57" s="5"/>
      <c r="K57" s="5"/>
      <c r="L57" s="5"/>
    </row>
    <row r="58" spans="1:12" ht="30" customHeight="1" x14ac:dyDescent="0.25">
      <c r="A58" s="5"/>
      <c r="B58" s="20"/>
      <c r="C58" s="10"/>
      <c r="D58" s="10"/>
      <c r="E58" s="10"/>
      <c r="F58" s="10"/>
      <c r="G58" s="10"/>
      <c r="H58" s="10"/>
      <c r="I58" s="10"/>
      <c r="J58" s="5"/>
      <c r="K58" s="5"/>
      <c r="L58" s="5"/>
    </row>
    <row r="59" spans="1:12" s="64" customFormat="1" ht="39" customHeight="1" x14ac:dyDescent="0.2">
      <c r="A59" s="1"/>
      <c r="B59" s="62" t="s">
        <v>4</v>
      </c>
      <c r="C59" s="28" t="s">
        <v>3</v>
      </c>
      <c r="D59" s="28" t="s">
        <v>7</v>
      </c>
      <c r="E59" s="59" t="s">
        <v>127</v>
      </c>
      <c r="F59" s="146" t="s">
        <v>28</v>
      </c>
      <c r="G59" s="146"/>
      <c r="H59" s="59" t="s">
        <v>108</v>
      </c>
      <c r="I59" s="28" t="s">
        <v>24</v>
      </c>
      <c r="J59" s="28" t="s">
        <v>109</v>
      </c>
      <c r="K59" s="59" t="s">
        <v>6</v>
      </c>
      <c r="L59" s="59" t="s">
        <v>2</v>
      </c>
    </row>
    <row r="60" spans="1:12" s="64" customFormat="1" ht="22.15" customHeight="1" x14ac:dyDescent="0.2">
      <c r="A60" s="65"/>
      <c r="B60" s="128" t="s">
        <v>43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</row>
    <row r="61" spans="1:12" s="70" customFormat="1" ht="22.15" customHeight="1" x14ac:dyDescent="0.2">
      <c r="A61" s="66"/>
      <c r="B61" s="67">
        <v>1</v>
      </c>
      <c r="C61" s="68"/>
      <c r="D61" s="67">
        <v>1</v>
      </c>
      <c r="E61" s="57" t="s">
        <v>20</v>
      </c>
      <c r="F61" s="18"/>
      <c r="G61" s="18"/>
      <c r="H61" s="18"/>
      <c r="I61" s="57" t="str">
        <f>IF(AND(EXACT(D8,"Yes"),ISTEXT(D8)),B8,"")</f>
        <v/>
      </c>
      <c r="J61" s="57" t="str">
        <f>IF(AND(EXACT(D8,"Yes"),ISTEXT(D8)),E8,"")</f>
        <v/>
      </c>
      <c r="K61" s="18"/>
      <c r="L61" s="69"/>
    </row>
    <row r="62" spans="1:12" s="64" customFormat="1" ht="22.15" customHeight="1" x14ac:dyDescent="0.2">
      <c r="A62" s="65"/>
      <c r="B62" s="128" t="s">
        <v>44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</row>
    <row r="63" spans="1:12" s="70" customFormat="1" ht="22.15" customHeight="1" x14ac:dyDescent="0.2">
      <c r="A63" s="66"/>
      <c r="B63" s="67">
        <v>1</v>
      </c>
      <c r="C63" s="82"/>
      <c r="D63" s="67">
        <v>1</v>
      </c>
      <c r="E63" s="57" t="s">
        <v>20</v>
      </c>
      <c r="F63" s="18"/>
      <c r="G63" s="18"/>
      <c r="H63" s="18"/>
      <c r="I63" s="57" t="str">
        <f>IF(AND(EXACT(D9,"Yes"),ISTEXT(D9)),B9,"")</f>
        <v/>
      </c>
      <c r="J63" s="57"/>
      <c r="K63" s="18"/>
      <c r="L63" s="69"/>
    </row>
    <row r="64" spans="1:12" s="64" customFormat="1" ht="22.15" customHeight="1" x14ac:dyDescent="0.2">
      <c r="A64" s="65"/>
      <c r="B64" s="128" t="s">
        <v>45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</row>
    <row r="65" spans="1:12" s="70" customFormat="1" ht="22.15" customHeight="1" x14ac:dyDescent="0.2">
      <c r="A65" s="66"/>
      <c r="B65" s="71" t="s">
        <v>113</v>
      </c>
      <c r="C65" s="82"/>
      <c r="D65" s="67">
        <v>1</v>
      </c>
      <c r="E65" s="57" t="s">
        <v>20</v>
      </c>
      <c r="F65" s="56" t="str">
        <f>IF(B27="","",B27)</f>
        <v>Power total</v>
      </c>
      <c r="G65" s="63"/>
      <c r="H65" s="57" t="str">
        <f>IF(D27="","",D27)</f>
        <v>consume</v>
      </c>
      <c r="I65" s="57" t="str">
        <f>IF(AND(EXACT(D8,"Yes"),ISTEXT(D8)),B8,"")</f>
        <v/>
      </c>
      <c r="J65" s="57" t="str">
        <f>IF(AND(EXACT(D8,"Yes"),ISTEXT(D8)),E8,"")</f>
        <v/>
      </c>
      <c r="K65" s="18"/>
      <c r="L65" s="69"/>
    </row>
    <row r="66" spans="1:12" s="70" customFormat="1" ht="22.15" customHeight="1" x14ac:dyDescent="0.2">
      <c r="A66" s="66"/>
      <c r="B66" s="71" t="s">
        <v>114</v>
      </c>
      <c r="C66" s="82"/>
      <c r="D66" s="67">
        <v>2</v>
      </c>
      <c r="E66" s="57" t="s">
        <v>20</v>
      </c>
      <c r="F66" s="56" t="str">
        <f>IF(B27="","",B27)</f>
        <v>Power total</v>
      </c>
      <c r="G66" s="63"/>
      <c r="H66" s="57" t="str">
        <f>IF(D27="","",D27)</f>
        <v>consume</v>
      </c>
      <c r="I66" s="57" t="str">
        <f>IF(AND(EXACT(D9,"Yes"),ISTEXT(D9)),B9,"")</f>
        <v/>
      </c>
      <c r="J66" s="57"/>
      <c r="K66" s="18"/>
      <c r="L66" s="69"/>
    </row>
    <row r="67" spans="1:12" s="70" customFormat="1" ht="22.15" customHeight="1" x14ac:dyDescent="0.2">
      <c r="A67" s="66"/>
      <c r="B67" s="71" t="s">
        <v>115</v>
      </c>
      <c r="C67" s="82"/>
      <c r="D67" s="67">
        <v>1</v>
      </c>
      <c r="E67" s="57" t="s">
        <v>20</v>
      </c>
      <c r="F67" s="56" t="str">
        <f>IF(B27="","",B27)</f>
        <v>Power total</v>
      </c>
      <c r="G67" s="63"/>
      <c r="H67" s="57" t="str">
        <f>IF(D28="","",D28)</f>
        <v>produce</v>
      </c>
      <c r="I67" s="57" t="str">
        <f>IF(AND(EXACT(D8,"Yes"),ISTEXT(D8)),B8,"")</f>
        <v/>
      </c>
      <c r="J67" s="57" t="str">
        <f>IF(AND(EXACT(D8,"Yes"),ISTEXT(D8)),E8,"")</f>
        <v/>
      </c>
      <c r="K67" s="18"/>
      <c r="L67" s="69"/>
    </row>
    <row r="68" spans="1:12" s="70" customFormat="1" ht="22.15" customHeight="1" x14ac:dyDescent="0.2">
      <c r="A68" s="66"/>
      <c r="B68" s="71" t="s">
        <v>116</v>
      </c>
      <c r="C68" s="82"/>
      <c r="D68" s="67">
        <v>2</v>
      </c>
      <c r="E68" s="57" t="s">
        <v>20</v>
      </c>
      <c r="F68" s="56" t="str">
        <f>IF(B27="","",B27)</f>
        <v>Power total</v>
      </c>
      <c r="G68" s="63"/>
      <c r="H68" s="57" t="str">
        <f>IF(D28="","",D28)</f>
        <v>produce</v>
      </c>
      <c r="I68" s="57" t="str">
        <f>IF(AND(EXACT(D9,"Yes"),ISTEXT(D9)),B9,"")</f>
        <v/>
      </c>
      <c r="J68" s="57"/>
      <c r="K68" s="18"/>
      <c r="L68" s="69"/>
    </row>
    <row r="69" spans="1:12" s="64" customFormat="1" ht="22.15" customHeight="1" x14ac:dyDescent="0.2">
      <c r="A69" s="65"/>
      <c r="B69" s="128" t="s">
        <v>46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</row>
    <row r="70" spans="1:12" s="70" customFormat="1" ht="22.15" customHeight="1" x14ac:dyDescent="0.2">
      <c r="A70" s="66"/>
      <c r="B70" s="71" t="s">
        <v>113</v>
      </c>
      <c r="C70" s="82"/>
      <c r="D70" s="67">
        <v>1</v>
      </c>
      <c r="E70" s="57" t="s">
        <v>20</v>
      </c>
      <c r="F70" s="56" t="str">
        <f>IF(B30="","",B30)</f>
        <v>Phase A</v>
      </c>
      <c r="G70" s="63"/>
      <c r="H70" s="57" t="str">
        <f>IF(D30="","",D30)</f>
        <v>consume</v>
      </c>
      <c r="I70" s="57" t="str">
        <f>IF(AND(EXACT(D8,"Yes"),ISTEXT(D8)),B8,"")</f>
        <v/>
      </c>
      <c r="J70" s="57" t="str">
        <f>IF(AND(EXACT(D8,"Yes"),ISTEXT(D8)),E8,"")</f>
        <v/>
      </c>
      <c r="K70" s="18"/>
      <c r="L70" s="69"/>
    </row>
    <row r="71" spans="1:12" s="70" customFormat="1" ht="22.15" customHeight="1" x14ac:dyDescent="0.2">
      <c r="A71" s="66"/>
      <c r="B71" s="71" t="s">
        <v>114</v>
      </c>
      <c r="C71" s="82"/>
      <c r="D71" s="67">
        <v>2</v>
      </c>
      <c r="E71" s="57" t="s">
        <v>20</v>
      </c>
      <c r="F71" s="56" t="str">
        <f>IF(B30="","",B30)</f>
        <v>Phase A</v>
      </c>
      <c r="G71" s="63"/>
      <c r="H71" s="57" t="str">
        <f>IF(D30="","",D30)</f>
        <v>consume</v>
      </c>
      <c r="I71" s="57" t="str">
        <f>IF(AND(EXACT(D9,"Yes"),ISTEXT(D9)),B9,"")</f>
        <v/>
      </c>
      <c r="J71" s="57"/>
      <c r="K71" s="18"/>
      <c r="L71" s="69"/>
    </row>
    <row r="72" spans="1:12" s="70" customFormat="1" ht="22.15" customHeight="1" x14ac:dyDescent="0.2">
      <c r="A72" s="66"/>
      <c r="B72" s="71" t="s">
        <v>115</v>
      </c>
      <c r="C72" s="82"/>
      <c r="D72" s="67">
        <v>1</v>
      </c>
      <c r="E72" s="57" t="s">
        <v>20</v>
      </c>
      <c r="F72" s="56" t="str">
        <f>IF(B30="","",B30)</f>
        <v>Phase A</v>
      </c>
      <c r="G72" s="63"/>
      <c r="H72" s="57" t="str">
        <f>IF(D31="","",D31)</f>
        <v>produce</v>
      </c>
      <c r="I72" s="57" t="str">
        <f>IF(AND(EXACT(D8,"Yes"),ISTEXT(D8)),B8,"")</f>
        <v/>
      </c>
      <c r="J72" s="57" t="str">
        <f>IF(AND(EXACT(D8,"Yes"),ISTEXT(D8)),E8,"")</f>
        <v/>
      </c>
      <c r="K72" s="18"/>
      <c r="L72" s="69"/>
    </row>
    <row r="73" spans="1:12" s="70" customFormat="1" ht="22.15" customHeight="1" x14ac:dyDescent="0.2">
      <c r="A73" s="66"/>
      <c r="B73" s="71" t="s">
        <v>116</v>
      </c>
      <c r="C73" s="82"/>
      <c r="D73" s="67">
        <v>2</v>
      </c>
      <c r="E73" s="57" t="s">
        <v>20</v>
      </c>
      <c r="F73" s="56" t="str">
        <f>IF(B30="","",B30)</f>
        <v>Phase A</v>
      </c>
      <c r="G73" s="63"/>
      <c r="H73" s="57" t="str">
        <f>IF(D31="","",D31)</f>
        <v>produce</v>
      </c>
      <c r="I73" s="57" t="str">
        <f>IF(AND(EXACT(D9,"Yes"),ISTEXT(D9)),B9,"")</f>
        <v/>
      </c>
      <c r="J73" s="57"/>
      <c r="K73" s="18"/>
      <c r="L73" s="69"/>
    </row>
    <row r="74" spans="1:12" s="64" customFormat="1" ht="22.15" customHeight="1" x14ac:dyDescent="0.2">
      <c r="A74" s="65"/>
      <c r="B74" s="128" t="s">
        <v>47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</row>
    <row r="75" spans="1:12" s="70" customFormat="1" ht="22.15" customHeight="1" x14ac:dyDescent="0.2">
      <c r="A75" s="66"/>
      <c r="B75" s="71" t="s">
        <v>113</v>
      </c>
      <c r="C75" s="82"/>
      <c r="D75" s="67">
        <v>1</v>
      </c>
      <c r="E75" s="57" t="s">
        <v>20</v>
      </c>
      <c r="F75" s="56" t="str">
        <f>IF(B32="","",B32)</f>
        <v>Phase B</v>
      </c>
      <c r="G75" s="63"/>
      <c r="H75" s="57" t="str">
        <f>IF(D32="","",D32)</f>
        <v>consume</v>
      </c>
      <c r="I75" s="57" t="str">
        <f>IF(AND(EXACT(D8,"Yes"),ISTEXT(D8)),B8,"")</f>
        <v/>
      </c>
      <c r="J75" s="57" t="str">
        <f>IF(AND(EXACT(D8,"Yes"),ISTEXT(D8)),E8,"")</f>
        <v/>
      </c>
      <c r="K75" s="18"/>
      <c r="L75" s="69"/>
    </row>
    <row r="76" spans="1:12" s="70" customFormat="1" ht="22.15" customHeight="1" x14ac:dyDescent="0.2">
      <c r="A76" s="66"/>
      <c r="B76" s="71" t="s">
        <v>114</v>
      </c>
      <c r="C76" s="82"/>
      <c r="D76" s="67">
        <v>2</v>
      </c>
      <c r="E76" s="57" t="s">
        <v>20</v>
      </c>
      <c r="F76" s="56" t="str">
        <f>IF(B32="","",B32)</f>
        <v>Phase B</v>
      </c>
      <c r="G76" s="63"/>
      <c r="H76" s="57" t="str">
        <f>IF(D32="","",D32)</f>
        <v>consume</v>
      </c>
      <c r="I76" s="57" t="str">
        <f>IF(AND(EXACT(D9,"Yes"),ISTEXT(D9)),B9,"")</f>
        <v/>
      </c>
      <c r="J76" s="57"/>
      <c r="K76" s="18"/>
      <c r="L76" s="69"/>
    </row>
    <row r="77" spans="1:12" s="70" customFormat="1" ht="22.15" customHeight="1" x14ac:dyDescent="0.2">
      <c r="A77" s="66"/>
      <c r="B77" s="71" t="s">
        <v>115</v>
      </c>
      <c r="C77" s="82"/>
      <c r="D77" s="67">
        <v>1</v>
      </c>
      <c r="E77" s="57" t="s">
        <v>20</v>
      </c>
      <c r="F77" s="56" t="str">
        <f>IF(B32="","",B32)</f>
        <v>Phase B</v>
      </c>
      <c r="G77" s="63"/>
      <c r="H77" s="57" t="str">
        <f>IF(D33="","",D33)</f>
        <v>produce</v>
      </c>
      <c r="I77" s="57" t="str">
        <f>IF(AND(EXACT(D8,"Yes"),ISTEXT(D8)),B8,"")</f>
        <v/>
      </c>
      <c r="J77" s="57" t="str">
        <f>IF(AND(EXACT(D8,"Yes"),ISTEXT(D8)),E8,"")</f>
        <v/>
      </c>
      <c r="K77" s="18"/>
      <c r="L77" s="69"/>
    </row>
    <row r="78" spans="1:12" s="70" customFormat="1" ht="22.15" customHeight="1" x14ac:dyDescent="0.2">
      <c r="A78" s="66"/>
      <c r="B78" s="71" t="s">
        <v>116</v>
      </c>
      <c r="C78" s="82"/>
      <c r="D78" s="67">
        <v>2</v>
      </c>
      <c r="E78" s="57" t="s">
        <v>20</v>
      </c>
      <c r="F78" s="56" t="str">
        <f>IF(B32="","",B32)</f>
        <v>Phase B</v>
      </c>
      <c r="G78" s="63"/>
      <c r="H78" s="57" t="str">
        <f>IF(D33="","",D33)</f>
        <v>produce</v>
      </c>
      <c r="I78" s="57" t="str">
        <f>IF(AND(EXACT(D9,"Yes"),ISTEXT(D9)),B9,"")</f>
        <v/>
      </c>
      <c r="J78" s="57"/>
      <c r="K78" s="18"/>
      <c r="L78" s="69"/>
    </row>
    <row r="79" spans="1:12" s="64" customFormat="1" ht="22.15" customHeight="1" x14ac:dyDescent="0.2">
      <c r="A79" s="65"/>
      <c r="B79" s="128" t="s">
        <v>48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</row>
    <row r="80" spans="1:12" s="70" customFormat="1" ht="22.15" customHeight="1" x14ac:dyDescent="0.2">
      <c r="A80" s="66"/>
      <c r="B80" s="71" t="s">
        <v>113</v>
      </c>
      <c r="C80" s="82"/>
      <c r="D80" s="67">
        <v>1</v>
      </c>
      <c r="E80" s="57" t="s">
        <v>20</v>
      </c>
      <c r="F80" s="56" t="str">
        <f>IF(B34="","",B34)</f>
        <v>Phase C</v>
      </c>
      <c r="G80" s="63"/>
      <c r="H80" s="57" t="str">
        <f>IF(D34="","",D34)</f>
        <v>consume</v>
      </c>
      <c r="I80" s="57" t="str">
        <f>IF(AND(EXACT(D8,"Yes"),ISTEXT(D8)),B8,"")</f>
        <v/>
      </c>
      <c r="J80" s="57" t="str">
        <f>IF(AND(EXACT(D8,"Yes"),ISTEXT(D8)),E8,"")</f>
        <v/>
      </c>
      <c r="K80" s="18"/>
      <c r="L80" s="69"/>
    </row>
    <row r="81" spans="1:12" s="70" customFormat="1" ht="22.15" customHeight="1" x14ac:dyDescent="0.2">
      <c r="A81" s="66"/>
      <c r="B81" s="71" t="s">
        <v>114</v>
      </c>
      <c r="C81" s="82"/>
      <c r="D81" s="67">
        <v>2</v>
      </c>
      <c r="E81" s="57" t="s">
        <v>20</v>
      </c>
      <c r="F81" s="56" t="str">
        <f>IF(B34="","",B34)</f>
        <v>Phase C</v>
      </c>
      <c r="G81" s="63"/>
      <c r="H81" s="57" t="str">
        <f>IF(D34="","",D34)</f>
        <v>consume</v>
      </c>
      <c r="I81" s="57" t="str">
        <f>IF(AND(EXACT(D9,"Yes"),ISTEXT(D9)),B9,"")</f>
        <v/>
      </c>
      <c r="J81" s="57"/>
      <c r="K81" s="18"/>
      <c r="L81" s="69"/>
    </row>
    <row r="82" spans="1:12" s="70" customFormat="1" ht="22.15" customHeight="1" x14ac:dyDescent="0.2">
      <c r="A82" s="66"/>
      <c r="B82" s="71" t="s">
        <v>115</v>
      </c>
      <c r="C82" s="82"/>
      <c r="D82" s="67">
        <v>1</v>
      </c>
      <c r="E82" s="57" t="s">
        <v>20</v>
      </c>
      <c r="F82" s="56" t="str">
        <f>IF(B34="","",B34)</f>
        <v>Phase C</v>
      </c>
      <c r="G82" s="63"/>
      <c r="H82" s="57" t="str">
        <f>IF(D35="","",D35)</f>
        <v>produce</v>
      </c>
      <c r="I82" s="57" t="str">
        <f>IF(AND(EXACT(D8,"Yes"),ISTEXT(D8)),B8,"")</f>
        <v/>
      </c>
      <c r="J82" s="57" t="str">
        <f>IF(AND(EXACT(D8,"Yes"),ISTEXT(D8)),E8,"")</f>
        <v/>
      </c>
      <c r="K82" s="18"/>
      <c r="L82" s="69"/>
    </row>
    <row r="83" spans="1:12" s="70" customFormat="1" ht="22.15" customHeight="1" x14ac:dyDescent="0.2">
      <c r="A83" s="66"/>
      <c r="B83" s="71" t="s">
        <v>116</v>
      </c>
      <c r="C83" s="82"/>
      <c r="D83" s="67">
        <v>2</v>
      </c>
      <c r="E83" s="57" t="s">
        <v>20</v>
      </c>
      <c r="F83" s="56" t="str">
        <f>IF(B34="","",B34)</f>
        <v>Phase C</v>
      </c>
      <c r="G83" s="63"/>
      <c r="H83" s="57" t="str">
        <f>IF(D35="","",D35)</f>
        <v>produce</v>
      </c>
      <c r="I83" s="57" t="str">
        <f>IF(AND(EXACT(D9,"Yes"),ISTEXT(D9)),B9,"")</f>
        <v/>
      </c>
      <c r="J83" s="57"/>
      <c r="K83" s="18"/>
      <c r="L83" s="69"/>
    </row>
    <row r="84" spans="1:12" s="64" customFormat="1" ht="22.15" customHeight="1" x14ac:dyDescent="0.2">
      <c r="A84" s="65"/>
      <c r="B84" s="128" t="s">
        <v>49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</row>
    <row r="85" spans="1:12" s="70" customFormat="1" ht="22.15" customHeight="1" x14ac:dyDescent="0.2">
      <c r="A85" s="66"/>
      <c r="B85" s="71" t="s">
        <v>113</v>
      </c>
      <c r="C85" s="68"/>
      <c r="D85" s="67">
        <v>1</v>
      </c>
      <c r="E85" s="57" t="s">
        <v>20</v>
      </c>
      <c r="F85" s="56" t="str">
        <f>IF(B37="","",B37)</f>
        <v>Total consumed energy</v>
      </c>
      <c r="G85" s="63"/>
      <c r="H85" s="57" t="str">
        <f>IF(D37="","",D37)</f>
        <v>consume</v>
      </c>
      <c r="I85" s="57" t="str">
        <f>IF(AND(EXACT(D8,"Yes"),ISTEXT(D8)),B8,"")</f>
        <v/>
      </c>
      <c r="J85" s="57" t="str">
        <f>IF(AND(EXACT(D8,"Yes"),ISTEXT(D8)),E8,"")</f>
        <v/>
      </c>
      <c r="K85" s="18"/>
      <c r="L85" s="69"/>
    </row>
    <row r="86" spans="1:12" s="70" customFormat="1" ht="22.15" customHeight="1" x14ac:dyDescent="0.2">
      <c r="A86" s="66"/>
      <c r="B86" s="71" t="s">
        <v>114</v>
      </c>
      <c r="C86" s="68"/>
      <c r="D86" s="67">
        <v>2</v>
      </c>
      <c r="E86" s="57" t="s">
        <v>20</v>
      </c>
      <c r="F86" s="56" t="str">
        <f>IF(B37="","",B37)</f>
        <v>Total consumed energy</v>
      </c>
      <c r="G86" s="63"/>
      <c r="H86" s="57" t="str">
        <f>IF(D37="","",D37)</f>
        <v>consume</v>
      </c>
      <c r="I86" s="57" t="str">
        <f>IF(AND(EXACT(D9,"Yes"),ISTEXT(D9)),B9,"")</f>
        <v/>
      </c>
      <c r="J86" s="57"/>
      <c r="K86" s="18"/>
      <c r="L86" s="69"/>
    </row>
    <row r="87" spans="1:12" s="64" customFormat="1" ht="22.15" customHeight="1" x14ac:dyDescent="0.2">
      <c r="A87" s="65"/>
      <c r="B87" s="128" t="s">
        <v>50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</row>
    <row r="88" spans="1:12" s="70" customFormat="1" ht="22.15" customHeight="1" x14ac:dyDescent="0.2">
      <c r="A88" s="66"/>
      <c r="B88" s="67">
        <v>1</v>
      </c>
      <c r="C88" s="68"/>
      <c r="D88" s="67">
        <v>1</v>
      </c>
      <c r="E88" s="57" t="s">
        <v>20</v>
      </c>
      <c r="F88" s="57" t="str">
        <f>IF(B37="","",B37)</f>
        <v>Total consumed energy</v>
      </c>
      <c r="G88" s="63"/>
      <c r="H88" s="57" t="str">
        <f>IF(D38="","",D38)</f>
        <v>produce</v>
      </c>
      <c r="I88" s="57" t="str">
        <f>IF(AND(EXACT(D8,"Yes"),ISTEXT(D8)),B8,"")</f>
        <v/>
      </c>
      <c r="J88" s="57" t="str">
        <f>IF(AND(EXACT(D8,"Yes"),ISTEXT(D8)),E8,"")</f>
        <v/>
      </c>
      <c r="K88" s="18"/>
      <c r="L88" s="69"/>
    </row>
    <row r="89" spans="1:12" s="64" customFormat="1" ht="22.15" customHeight="1" x14ac:dyDescent="0.2">
      <c r="A89" s="65"/>
      <c r="B89" s="128" t="s">
        <v>51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</row>
    <row r="90" spans="1:12" s="70" customFormat="1" ht="22.15" customHeight="1" x14ac:dyDescent="0.2">
      <c r="A90" s="66"/>
      <c r="B90" s="67">
        <v>1</v>
      </c>
      <c r="C90" s="68"/>
      <c r="D90" s="67">
        <v>1</v>
      </c>
      <c r="E90" s="57" t="s">
        <v>20</v>
      </c>
      <c r="F90" s="57" t="str">
        <f>IF(B40="","",B40)</f>
        <v>Total produced energy</v>
      </c>
      <c r="G90" s="63"/>
      <c r="H90" s="57" t="str">
        <f>IF(D40="","",D40)</f>
        <v>consume</v>
      </c>
      <c r="I90" s="57" t="str">
        <f>IF(AND(EXACT(D8,"Yes"),ISTEXT(D8)),B8,"")</f>
        <v/>
      </c>
      <c r="J90" s="57" t="str">
        <f>IF(AND(EXACT(D8,"Yes"),ISTEXT(D8)),E8,"")</f>
        <v/>
      </c>
      <c r="K90" s="18"/>
      <c r="L90" s="69"/>
    </row>
    <row r="91" spans="1:12" s="64" customFormat="1" ht="22.15" customHeight="1" x14ac:dyDescent="0.2">
      <c r="A91" s="65"/>
      <c r="B91" s="128" t="s">
        <v>52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</row>
    <row r="92" spans="1:12" s="70" customFormat="1" ht="22.15" customHeight="1" x14ac:dyDescent="0.2">
      <c r="A92" s="66"/>
      <c r="B92" s="71" t="s">
        <v>113</v>
      </c>
      <c r="C92" s="68"/>
      <c r="D92" s="67">
        <v>1</v>
      </c>
      <c r="E92" s="57" t="s">
        <v>20</v>
      </c>
      <c r="F92" s="57" t="str">
        <f>IF(B40="","",B40)</f>
        <v>Total produced energy</v>
      </c>
      <c r="G92" s="63"/>
      <c r="H92" s="57" t="str">
        <f>IF(D41="","",D41)</f>
        <v>produce</v>
      </c>
      <c r="I92" s="57" t="str">
        <f>IF(AND(EXACT(D8,"Yes"),ISTEXT(D8)),B8,"")</f>
        <v/>
      </c>
      <c r="J92" s="57" t="str">
        <f>IF(AND(EXACT(D8,"Yes"),ISTEXT(D8)),E8,"")</f>
        <v/>
      </c>
      <c r="K92" s="18"/>
      <c r="L92" s="69"/>
    </row>
    <row r="93" spans="1:12" s="70" customFormat="1" ht="22.15" customHeight="1" x14ac:dyDescent="0.2">
      <c r="A93" s="66"/>
      <c r="B93" s="71" t="s">
        <v>114</v>
      </c>
      <c r="C93" s="68"/>
      <c r="D93" s="67">
        <v>2</v>
      </c>
      <c r="E93" s="57" t="s">
        <v>20</v>
      </c>
      <c r="F93" s="57" t="str">
        <f>IF(B40="","",B40)</f>
        <v>Total produced energy</v>
      </c>
      <c r="G93" s="63"/>
      <c r="H93" s="57" t="str">
        <f>IF(D41="","",D41)</f>
        <v>produce</v>
      </c>
      <c r="I93" s="57" t="str">
        <f>IF(AND(EXACT(D9,"Yes"),ISTEXT(D9)),B9,"")</f>
        <v/>
      </c>
      <c r="J93" s="57"/>
      <c r="K93" s="18"/>
      <c r="L93" s="69"/>
    </row>
    <row r="94" spans="1:12" s="64" customFormat="1" ht="22.15" customHeight="1" x14ac:dyDescent="0.2">
      <c r="A94" s="65"/>
      <c r="B94" s="128" t="s">
        <v>53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</row>
    <row r="95" spans="1:12" s="70" customFormat="1" ht="22.15" customHeight="1" x14ac:dyDescent="0.2">
      <c r="A95" s="66"/>
      <c r="B95" s="71" t="s">
        <v>113</v>
      </c>
      <c r="C95" s="68"/>
      <c r="D95" s="67">
        <v>1</v>
      </c>
      <c r="E95" s="57" t="s">
        <v>20</v>
      </c>
      <c r="F95" s="56" t="str">
        <f>IF(B43="","",B43)</f>
        <v>Phase A</v>
      </c>
      <c r="G95" s="63"/>
      <c r="H95" s="57" t="str">
        <f>IF(D43="","",D43)</f>
        <v>consume</v>
      </c>
      <c r="I95" s="57" t="str">
        <f>IF(AND(EXACT(D8,"Yes"),ISTEXT(D8)),B8,"")</f>
        <v/>
      </c>
      <c r="J95" s="57" t="str">
        <f>IF(AND(EXACT(D8,"Yes"),ISTEXT(D8)),E8,"")</f>
        <v/>
      </c>
      <c r="K95" s="18"/>
      <c r="L95" s="69"/>
    </row>
    <row r="96" spans="1:12" s="70" customFormat="1" ht="22.15" customHeight="1" x14ac:dyDescent="0.2">
      <c r="A96" s="66"/>
      <c r="B96" s="71" t="s">
        <v>114</v>
      </c>
      <c r="C96" s="68"/>
      <c r="D96" s="67">
        <v>2</v>
      </c>
      <c r="E96" s="57" t="s">
        <v>20</v>
      </c>
      <c r="F96" s="56" t="str">
        <f>IF(B43="","",B43)</f>
        <v>Phase A</v>
      </c>
      <c r="G96" s="63"/>
      <c r="H96" s="57" t="str">
        <f>IF(D43="","",D43)</f>
        <v>consume</v>
      </c>
      <c r="I96" s="57" t="str">
        <f>IF(AND(EXACT(D9,"Yes"),ISTEXT(D9)),B9,"")</f>
        <v/>
      </c>
      <c r="J96" s="57"/>
      <c r="K96" s="18"/>
      <c r="L96" s="69"/>
    </row>
    <row r="97" spans="1:12" s="70" customFormat="1" ht="22.15" customHeight="1" x14ac:dyDescent="0.2">
      <c r="A97" s="66"/>
      <c r="B97" s="71" t="s">
        <v>115</v>
      </c>
      <c r="C97" s="68"/>
      <c r="D97" s="67">
        <v>1</v>
      </c>
      <c r="E97" s="57" t="s">
        <v>20</v>
      </c>
      <c r="F97" s="56" t="str">
        <f>IF(B43="","",B43)</f>
        <v>Phase A</v>
      </c>
      <c r="G97" s="63"/>
      <c r="H97" s="57" t="str">
        <f>IF(D44="","",D44)</f>
        <v>produce</v>
      </c>
      <c r="I97" s="57" t="str">
        <f>IF(AND(EXACT(D8,"Yes"),ISTEXT(D8)),B8,"")</f>
        <v/>
      </c>
      <c r="J97" s="57" t="str">
        <f>IF(AND(EXACT(D8,"Yes"),ISTEXT(D8)),E8,"")</f>
        <v/>
      </c>
      <c r="K97" s="18"/>
      <c r="L97" s="69"/>
    </row>
    <row r="98" spans="1:12" s="70" customFormat="1" ht="22.15" customHeight="1" x14ac:dyDescent="0.2">
      <c r="A98" s="66"/>
      <c r="B98" s="71" t="s">
        <v>116</v>
      </c>
      <c r="C98" s="68"/>
      <c r="D98" s="67">
        <v>2</v>
      </c>
      <c r="E98" s="57" t="s">
        <v>20</v>
      </c>
      <c r="F98" s="56" t="str">
        <f>IF(B43="","",B43)</f>
        <v>Phase A</v>
      </c>
      <c r="G98" s="63"/>
      <c r="H98" s="57" t="str">
        <f>IF(D44="","",D44)</f>
        <v>produce</v>
      </c>
      <c r="I98" s="57" t="str">
        <f>IF(AND(EXACT(D9,"Yes"),ISTEXT(D9)),B9,"")</f>
        <v/>
      </c>
      <c r="J98" s="57"/>
      <c r="K98" s="18"/>
      <c r="L98" s="69"/>
    </row>
    <row r="99" spans="1:12" s="64" customFormat="1" ht="22.15" customHeight="1" x14ac:dyDescent="0.2">
      <c r="A99" s="65"/>
      <c r="B99" s="128" t="s">
        <v>54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</row>
    <row r="100" spans="1:12" s="70" customFormat="1" ht="22.15" customHeight="1" x14ac:dyDescent="0.2">
      <c r="A100" s="66"/>
      <c r="B100" s="71" t="s">
        <v>113</v>
      </c>
      <c r="C100" s="68"/>
      <c r="D100" s="67">
        <v>1</v>
      </c>
      <c r="E100" s="57" t="s">
        <v>20</v>
      </c>
      <c r="F100" s="56" t="str">
        <f>IF(B45="","",B45)</f>
        <v>Phase B</v>
      </c>
      <c r="G100" s="63"/>
      <c r="H100" s="57" t="str">
        <f>IF(D45="","",D45)</f>
        <v>consume</v>
      </c>
      <c r="I100" s="57" t="str">
        <f>IF(AND(EXACT(D8,"Yes"),ISTEXT(D8)),B8,"")</f>
        <v/>
      </c>
      <c r="J100" s="57" t="str">
        <f>IF(AND(EXACT(D8,"Yes"),ISTEXT(D8)),E8,"")</f>
        <v/>
      </c>
      <c r="K100" s="18"/>
      <c r="L100" s="69"/>
    </row>
    <row r="101" spans="1:12" s="70" customFormat="1" ht="22.15" customHeight="1" x14ac:dyDescent="0.2">
      <c r="A101" s="66"/>
      <c r="B101" s="71" t="s">
        <v>114</v>
      </c>
      <c r="C101" s="68"/>
      <c r="D101" s="67">
        <v>2</v>
      </c>
      <c r="E101" s="57" t="s">
        <v>20</v>
      </c>
      <c r="F101" s="56" t="str">
        <f>IF(B45="","",B45)</f>
        <v>Phase B</v>
      </c>
      <c r="G101" s="63"/>
      <c r="H101" s="57" t="str">
        <f>IF(D45="","",D45)</f>
        <v>consume</v>
      </c>
      <c r="I101" s="57" t="str">
        <f>IF(AND(EXACT(D9,"Yes"),ISTEXT(D9)),B9,"")</f>
        <v/>
      </c>
      <c r="J101" s="57"/>
      <c r="K101" s="18"/>
      <c r="L101" s="69"/>
    </row>
    <row r="102" spans="1:12" s="70" customFormat="1" ht="22.15" customHeight="1" x14ac:dyDescent="0.2">
      <c r="A102" s="66"/>
      <c r="B102" s="71" t="s">
        <v>115</v>
      </c>
      <c r="C102" s="68"/>
      <c r="D102" s="67">
        <v>1</v>
      </c>
      <c r="E102" s="57" t="s">
        <v>20</v>
      </c>
      <c r="F102" s="56" t="str">
        <f>IF(B45="","",B45)</f>
        <v>Phase B</v>
      </c>
      <c r="G102" s="63"/>
      <c r="H102" s="57" t="str">
        <f>IF(D46="","",D46)</f>
        <v>produce</v>
      </c>
      <c r="I102" s="57" t="str">
        <f>IF(AND(EXACT(D8,"Yes"),ISTEXT(D8)),B8,"")</f>
        <v/>
      </c>
      <c r="J102" s="57" t="str">
        <f>IF(AND(EXACT(D8,"Yes"),ISTEXT(D8)),E8,"")</f>
        <v/>
      </c>
      <c r="K102" s="18"/>
      <c r="L102" s="69"/>
    </row>
    <row r="103" spans="1:12" s="70" customFormat="1" ht="22.15" customHeight="1" x14ac:dyDescent="0.2">
      <c r="A103" s="66"/>
      <c r="B103" s="71" t="s">
        <v>116</v>
      </c>
      <c r="C103" s="68"/>
      <c r="D103" s="67">
        <v>2</v>
      </c>
      <c r="E103" s="57" t="s">
        <v>20</v>
      </c>
      <c r="F103" s="56" t="str">
        <f>IF(B45="","",B45)</f>
        <v>Phase B</v>
      </c>
      <c r="G103" s="63"/>
      <c r="H103" s="57" t="str">
        <f>IF(D46="","",D46)</f>
        <v>produce</v>
      </c>
      <c r="I103" s="57" t="str">
        <f>IF(AND(EXACT(D9,"Yes"),ISTEXT(D9)),B9,"")</f>
        <v/>
      </c>
      <c r="J103" s="57"/>
      <c r="K103" s="18"/>
      <c r="L103" s="69"/>
    </row>
    <row r="104" spans="1:12" s="64" customFormat="1" ht="22.15" customHeight="1" x14ac:dyDescent="0.2">
      <c r="A104" s="65"/>
      <c r="B104" s="128" t="s">
        <v>55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</row>
    <row r="105" spans="1:12" s="70" customFormat="1" ht="22.15" customHeight="1" x14ac:dyDescent="0.2">
      <c r="A105" s="66"/>
      <c r="B105" s="71" t="s">
        <v>113</v>
      </c>
      <c r="C105" s="68"/>
      <c r="D105" s="67">
        <v>1</v>
      </c>
      <c r="E105" s="57" t="s">
        <v>20</v>
      </c>
      <c r="F105" s="56" t="str">
        <f>IF(B47="","",B47)</f>
        <v>Phase C</v>
      </c>
      <c r="G105" s="63"/>
      <c r="H105" s="57" t="str">
        <f>IF(D47="","",D47)</f>
        <v>consume</v>
      </c>
      <c r="I105" s="57" t="str">
        <f>IF(AND(EXACT(D8,"Yes"),ISTEXT(D8)),B8,"")</f>
        <v/>
      </c>
      <c r="J105" s="57" t="str">
        <f>IF(AND(EXACT(D8,"Yes"),ISTEXT(D8)),E8,"")</f>
        <v/>
      </c>
      <c r="K105" s="18"/>
      <c r="L105" s="69"/>
    </row>
    <row r="106" spans="1:12" s="70" customFormat="1" ht="22.15" customHeight="1" x14ac:dyDescent="0.2">
      <c r="A106" s="66"/>
      <c r="B106" s="71" t="s">
        <v>114</v>
      </c>
      <c r="C106" s="68"/>
      <c r="D106" s="67">
        <v>2</v>
      </c>
      <c r="E106" s="57" t="s">
        <v>20</v>
      </c>
      <c r="F106" s="56" t="str">
        <f>IF(B47="","",B47)</f>
        <v>Phase C</v>
      </c>
      <c r="G106" s="63"/>
      <c r="H106" s="57" t="str">
        <f>IF(D47="","",D47)</f>
        <v>consume</v>
      </c>
      <c r="I106" s="57" t="str">
        <f>IF(AND(EXACT(D9,"Yes"),ISTEXT(D9)),B9,"")</f>
        <v/>
      </c>
      <c r="J106" s="57"/>
      <c r="K106" s="18"/>
      <c r="L106" s="69"/>
    </row>
    <row r="107" spans="1:12" s="70" customFormat="1" ht="22.15" customHeight="1" x14ac:dyDescent="0.2">
      <c r="A107" s="66"/>
      <c r="B107" s="71" t="s">
        <v>115</v>
      </c>
      <c r="C107" s="68"/>
      <c r="D107" s="67">
        <v>1</v>
      </c>
      <c r="E107" s="57" t="s">
        <v>20</v>
      </c>
      <c r="F107" s="56" t="str">
        <f>IF(B47="","",B47)</f>
        <v>Phase C</v>
      </c>
      <c r="G107" s="63"/>
      <c r="H107" s="57" t="str">
        <f>IF(D48="","",D48)</f>
        <v>produce</v>
      </c>
      <c r="I107" s="57" t="str">
        <f>IF(AND(EXACT(D8,"Yes"),ISTEXT(D8)),B8,"")</f>
        <v/>
      </c>
      <c r="J107" s="57" t="str">
        <f>IF(AND(EXACT(D8,"Yes"),ISTEXT(D8)),E8,"")</f>
        <v/>
      </c>
      <c r="K107" s="18"/>
      <c r="L107" s="69"/>
    </row>
    <row r="108" spans="1:12" s="70" customFormat="1" ht="22.15" customHeight="1" x14ac:dyDescent="0.2">
      <c r="A108" s="66"/>
      <c r="B108" s="71" t="s">
        <v>116</v>
      </c>
      <c r="C108" s="68"/>
      <c r="D108" s="67">
        <v>2</v>
      </c>
      <c r="E108" s="57" t="s">
        <v>20</v>
      </c>
      <c r="F108" s="56" t="str">
        <f>IF(B47="","",B47)</f>
        <v>Phase C</v>
      </c>
      <c r="G108" s="63"/>
      <c r="H108" s="57" t="str">
        <f>IF(D48="","",D48)</f>
        <v>produce</v>
      </c>
      <c r="I108" s="57" t="str">
        <f>IF(AND(EXACT(D9,"Yes"),ISTEXT(D9)),B9,"")</f>
        <v/>
      </c>
      <c r="J108" s="57"/>
      <c r="K108" s="18"/>
      <c r="L108" s="69"/>
    </row>
    <row r="109" spans="1:12" s="64" customFormat="1" ht="22.15" customHeight="1" x14ac:dyDescent="0.2">
      <c r="A109" s="65"/>
      <c r="B109" s="128" t="s">
        <v>56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</row>
    <row r="110" spans="1:12" s="70" customFormat="1" ht="22.15" customHeight="1" x14ac:dyDescent="0.2">
      <c r="A110" s="66"/>
      <c r="B110" s="71" t="s">
        <v>113</v>
      </c>
      <c r="C110" s="68"/>
      <c r="D110" s="67">
        <v>1</v>
      </c>
      <c r="E110" s="57" t="s">
        <v>20</v>
      </c>
      <c r="F110" s="57" t="str">
        <f>IF(B50="","",B50)</f>
        <v>Phase A / neutral</v>
      </c>
      <c r="G110" s="18"/>
      <c r="H110" s="57" t="str">
        <f>IF(D50="","",D50)</f>
        <v>any</v>
      </c>
      <c r="I110" s="57" t="str">
        <f>IF(AND(EXACT(D8,"Yes"),ISTEXT(D8)),B8,"")</f>
        <v/>
      </c>
      <c r="J110" s="57" t="str">
        <f>IF(AND(EXACT(D8,"Yes"),ISTEXT(D8)),E8,"")</f>
        <v/>
      </c>
      <c r="K110" s="18"/>
      <c r="L110" s="69"/>
    </row>
    <row r="111" spans="1:12" s="70" customFormat="1" ht="22.15" customHeight="1" x14ac:dyDescent="0.2">
      <c r="A111" s="66"/>
      <c r="B111" s="71" t="s">
        <v>114</v>
      </c>
      <c r="C111" s="68"/>
      <c r="D111" s="67">
        <v>2</v>
      </c>
      <c r="E111" s="57" t="s">
        <v>20</v>
      </c>
      <c r="F111" s="57" t="str">
        <f>IF(B50="","",B50)</f>
        <v>Phase A / neutral</v>
      </c>
      <c r="G111" s="18"/>
      <c r="H111" s="57" t="str">
        <f>IF(D50="","",D50)</f>
        <v>any</v>
      </c>
      <c r="I111" s="57" t="str">
        <f>IF(AND(EXACT(D9,"Yes"),ISTEXT(D9)),B9,"")</f>
        <v/>
      </c>
      <c r="J111" s="57"/>
      <c r="K111" s="18"/>
      <c r="L111" s="69"/>
    </row>
    <row r="112" spans="1:12" s="64" customFormat="1" ht="22.15" customHeight="1" x14ac:dyDescent="0.2">
      <c r="A112" s="65"/>
      <c r="B112" s="128" t="s">
        <v>57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</row>
    <row r="113" spans="1:12" s="70" customFormat="1" ht="22.15" customHeight="1" x14ac:dyDescent="0.2">
      <c r="A113" s="66"/>
      <c r="B113" s="71" t="s">
        <v>113</v>
      </c>
      <c r="C113" s="68"/>
      <c r="D113" s="67">
        <v>1</v>
      </c>
      <c r="E113" s="57" t="s">
        <v>20</v>
      </c>
      <c r="F113" s="57" t="str">
        <f>IF(B51="","",B51)</f>
        <v>Phase B / neutral</v>
      </c>
      <c r="G113" s="18"/>
      <c r="H113" s="57" t="str">
        <f>IF(D51="","",D51)</f>
        <v>any</v>
      </c>
      <c r="I113" s="57" t="str">
        <f>IF(AND(EXACT(D8,"Yes"),ISTEXT(D8)),B8,"")</f>
        <v/>
      </c>
      <c r="J113" s="57" t="str">
        <f>IF(AND(EXACT(D8,"Yes"),ISTEXT(D8)),E8,"")</f>
        <v/>
      </c>
      <c r="K113" s="18"/>
      <c r="L113" s="69"/>
    </row>
    <row r="114" spans="1:12" s="70" customFormat="1" ht="22.15" customHeight="1" x14ac:dyDescent="0.2">
      <c r="A114" s="66"/>
      <c r="B114" s="71" t="s">
        <v>114</v>
      </c>
      <c r="C114" s="68"/>
      <c r="D114" s="67">
        <v>2</v>
      </c>
      <c r="E114" s="57" t="s">
        <v>20</v>
      </c>
      <c r="F114" s="57" t="str">
        <f>IF(B51="","",B51)</f>
        <v>Phase B / neutral</v>
      </c>
      <c r="G114" s="18"/>
      <c r="H114" s="57" t="str">
        <f>IF(D51="","",D51)</f>
        <v>any</v>
      </c>
      <c r="I114" s="57" t="str">
        <f>IF(AND(EXACT(D9,"Yes"),ISTEXT(D9)),B9,"")</f>
        <v/>
      </c>
      <c r="J114" s="57"/>
      <c r="K114" s="18"/>
      <c r="L114" s="69"/>
    </row>
    <row r="115" spans="1:12" s="64" customFormat="1" ht="22.15" customHeight="1" x14ac:dyDescent="0.2">
      <c r="A115" s="65"/>
      <c r="B115" s="128" t="s">
        <v>58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</row>
    <row r="116" spans="1:12" s="70" customFormat="1" ht="22.15" customHeight="1" x14ac:dyDescent="0.2">
      <c r="A116" s="66"/>
      <c r="B116" s="71" t="s">
        <v>113</v>
      </c>
      <c r="C116" s="68"/>
      <c r="D116" s="67">
        <v>1</v>
      </c>
      <c r="E116" s="57" t="s">
        <v>20</v>
      </c>
      <c r="F116" s="57" t="str">
        <f>IF(B52="","",B52)</f>
        <v>Phase C / neutral</v>
      </c>
      <c r="G116" s="18"/>
      <c r="H116" s="57" t="str">
        <f>IF(D52="","",D52)</f>
        <v>any</v>
      </c>
      <c r="I116" s="57" t="str">
        <f>IF(AND(EXACT(D8,"Yes"),ISTEXT(D8)),B8,"")</f>
        <v/>
      </c>
      <c r="J116" s="57" t="str">
        <f>IF(AND(EXACT(D8,"Yes"),ISTEXT(D8)),E8,"")</f>
        <v/>
      </c>
      <c r="K116" s="18"/>
      <c r="L116" s="69"/>
    </row>
    <row r="117" spans="1:12" s="70" customFormat="1" ht="22.15" customHeight="1" x14ac:dyDescent="0.2">
      <c r="A117" s="66"/>
      <c r="B117" s="71" t="s">
        <v>114</v>
      </c>
      <c r="C117" s="68"/>
      <c r="D117" s="67">
        <v>2</v>
      </c>
      <c r="E117" s="57" t="s">
        <v>20</v>
      </c>
      <c r="F117" s="57" t="str">
        <f>IF(B52="","",B52)</f>
        <v>Phase C / neutral</v>
      </c>
      <c r="G117" s="18"/>
      <c r="H117" s="57" t="str">
        <f>IF(D52="","",D52)</f>
        <v>any</v>
      </c>
      <c r="I117" s="57" t="str">
        <f>IF(AND(EXACT(D9,"Yes"),ISTEXT(D9)),B9,"")</f>
        <v/>
      </c>
      <c r="J117" s="57"/>
      <c r="K117" s="18"/>
      <c r="L117" s="69"/>
    </row>
    <row r="118" spans="1:12" s="64" customFormat="1" ht="22.15" customHeight="1" x14ac:dyDescent="0.2">
      <c r="A118" s="65"/>
      <c r="B118" s="128" t="s">
        <v>59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</row>
    <row r="119" spans="1:12" s="70" customFormat="1" ht="22.15" customHeight="1" x14ac:dyDescent="0.2">
      <c r="A119" s="66"/>
      <c r="B119" s="71" t="s">
        <v>113</v>
      </c>
      <c r="C119" s="68"/>
      <c r="D119" s="67">
        <v>1</v>
      </c>
      <c r="E119" s="57" t="s">
        <v>20</v>
      </c>
      <c r="F119" s="57" t="str">
        <f>IF(B53="","",B53)</f>
        <v>Phase A / Phase B</v>
      </c>
      <c r="G119" s="18"/>
      <c r="H119" s="57" t="str">
        <f>IF(D53="","",D53)</f>
        <v>any</v>
      </c>
      <c r="I119" s="57" t="str">
        <f>IF(AND(EXACT(D8,"Yes"),ISTEXT(D8)),B8,"")</f>
        <v/>
      </c>
      <c r="J119" s="57" t="str">
        <f>IF(AND(EXACT(D8,"Yes"),ISTEXT(D8)),E8,"")</f>
        <v/>
      </c>
      <c r="K119" s="18"/>
      <c r="L119" s="69"/>
    </row>
    <row r="120" spans="1:12" s="70" customFormat="1" ht="22.15" customHeight="1" x14ac:dyDescent="0.2">
      <c r="A120" s="66"/>
      <c r="B120" s="71" t="s">
        <v>114</v>
      </c>
      <c r="C120" s="68"/>
      <c r="D120" s="67">
        <v>2</v>
      </c>
      <c r="E120" s="57" t="s">
        <v>20</v>
      </c>
      <c r="F120" s="57" t="str">
        <f>IF(B53="","",B53)</f>
        <v>Phase A / Phase B</v>
      </c>
      <c r="G120" s="18"/>
      <c r="H120" s="57" t="str">
        <f>IF(D53="","",D53)</f>
        <v>any</v>
      </c>
      <c r="I120" s="57" t="str">
        <f>IF(AND(EXACT(D9,"Yes"),ISTEXT(D9)),B9,"")</f>
        <v/>
      </c>
      <c r="J120" s="57"/>
      <c r="K120" s="18"/>
      <c r="L120" s="69"/>
    </row>
    <row r="121" spans="1:12" s="64" customFormat="1" ht="22.15" customHeight="1" x14ac:dyDescent="0.2">
      <c r="A121" s="65"/>
      <c r="B121" s="128" t="s">
        <v>117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</row>
    <row r="122" spans="1:12" s="70" customFormat="1" ht="22.15" customHeight="1" x14ac:dyDescent="0.2">
      <c r="A122" s="66"/>
      <c r="B122" s="71" t="s">
        <v>113</v>
      </c>
      <c r="C122" s="68"/>
      <c r="D122" s="67">
        <v>1</v>
      </c>
      <c r="E122" s="57" t="s">
        <v>20</v>
      </c>
      <c r="F122" s="57" t="str">
        <f>IF(B54="","",B54)</f>
        <v>Phase B / Phase C</v>
      </c>
      <c r="G122" s="18"/>
      <c r="H122" s="57" t="str">
        <f>IF(D54="","",D54)</f>
        <v>any</v>
      </c>
      <c r="I122" s="57" t="str">
        <f>IF(AND(EXACT(D8,"Yes"),ISTEXT(D8)),B8,"")</f>
        <v/>
      </c>
      <c r="J122" s="57" t="str">
        <f>IF(AND(EXACT(D8,"Yes"),ISTEXT(D8)),E8,"")</f>
        <v/>
      </c>
      <c r="K122" s="18"/>
      <c r="L122" s="69"/>
    </row>
    <row r="123" spans="1:12" s="70" customFormat="1" ht="22.15" customHeight="1" x14ac:dyDescent="0.2">
      <c r="A123" s="66"/>
      <c r="B123" s="71" t="s">
        <v>114</v>
      </c>
      <c r="C123" s="68"/>
      <c r="D123" s="67">
        <v>2</v>
      </c>
      <c r="E123" s="57" t="s">
        <v>20</v>
      </c>
      <c r="F123" s="57" t="str">
        <f>IF(B54="","",B54)</f>
        <v>Phase B / Phase C</v>
      </c>
      <c r="G123" s="18"/>
      <c r="H123" s="57" t="str">
        <f>IF(D54="","",D54)</f>
        <v>any</v>
      </c>
      <c r="I123" s="57" t="str">
        <f>IF(AND(EXACT(D9,"Yes"),ISTEXT(D9)),B9,"")</f>
        <v/>
      </c>
      <c r="J123" s="57"/>
      <c r="K123" s="18"/>
      <c r="L123" s="69"/>
    </row>
    <row r="124" spans="1:12" s="64" customFormat="1" ht="22.15" customHeight="1" x14ac:dyDescent="0.2">
      <c r="A124" s="65"/>
      <c r="B124" s="128" t="s">
        <v>118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</row>
    <row r="125" spans="1:12" s="70" customFormat="1" ht="22.15" customHeight="1" x14ac:dyDescent="0.2">
      <c r="A125" s="66"/>
      <c r="B125" s="71" t="s">
        <v>113</v>
      </c>
      <c r="C125" s="68"/>
      <c r="D125" s="67">
        <v>1</v>
      </c>
      <c r="E125" s="57" t="s">
        <v>20</v>
      </c>
      <c r="F125" s="57" t="str">
        <f>IF(B55="","",B55)</f>
        <v>Phase C / Phase A</v>
      </c>
      <c r="G125" s="18"/>
      <c r="H125" s="57" t="str">
        <f>IF(D55="","",D55)</f>
        <v>any</v>
      </c>
      <c r="I125" s="57" t="str">
        <f>IF(AND(EXACT(D8,"Yes"),ISTEXT(D8)),B8,"")</f>
        <v/>
      </c>
      <c r="J125" s="57" t="str">
        <f>IF(AND(EXACT(D8,"Yes"),ISTEXT(D8)),E8,"")</f>
        <v/>
      </c>
      <c r="K125" s="18"/>
      <c r="L125" s="69"/>
    </row>
    <row r="126" spans="1:12" s="70" customFormat="1" ht="22.15" customHeight="1" x14ac:dyDescent="0.2">
      <c r="A126" s="66"/>
      <c r="B126" s="71" t="s">
        <v>114</v>
      </c>
      <c r="C126" s="68"/>
      <c r="D126" s="67">
        <v>2</v>
      </c>
      <c r="E126" s="57" t="s">
        <v>20</v>
      </c>
      <c r="F126" s="57" t="str">
        <f>IF(B55="","",B55)</f>
        <v>Phase C / Phase A</v>
      </c>
      <c r="G126" s="18"/>
      <c r="H126" s="57" t="str">
        <f>IF(D55="","",D55)</f>
        <v>any</v>
      </c>
      <c r="I126" s="57" t="str">
        <f>IF(AND(EXACT(D9,"Yes"),ISTEXT(D9)),B9,"")</f>
        <v/>
      </c>
      <c r="J126" s="57"/>
      <c r="K126" s="18"/>
      <c r="L126" s="69"/>
    </row>
    <row r="127" spans="1:12" s="64" customFormat="1" ht="22.15" customHeight="1" x14ac:dyDescent="0.2">
      <c r="A127" s="65"/>
      <c r="B127" s="128" t="s">
        <v>60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</row>
    <row r="128" spans="1:12" s="70" customFormat="1" ht="22.15" customHeight="1" x14ac:dyDescent="0.2">
      <c r="A128" s="66"/>
      <c r="B128" s="71" t="s">
        <v>113</v>
      </c>
      <c r="C128" s="68"/>
      <c r="D128" s="67">
        <v>1</v>
      </c>
      <c r="E128" s="57" t="s">
        <v>20</v>
      </c>
      <c r="F128" s="56" t="str">
        <f>IF(B57="","",B57)</f>
        <v>Frequency</v>
      </c>
      <c r="G128" s="63"/>
      <c r="H128" s="57" t="str">
        <f>IF(D57="","",D57)</f>
        <v>any</v>
      </c>
      <c r="I128" s="57" t="str">
        <f>IF(AND(EXACT(D8,"Yes"),ISTEXT(D8)),B8,"")</f>
        <v/>
      </c>
      <c r="J128" s="57" t="str">
        <f>IF(AND(EXACT(D8,"Yes"),ISTEXT(D8)),E8,"")</f>
        <v/>
      </c>
      <c r="K128" s="18"/>
      <c r="L128" s="69"/>
    </row>
    <row r="129" spans="1:12" s="70" customFormat="1" ht="22.15" customHeight="1" x14ac:dyDescent="0.2">
      <c r="A129" s="66"/>
      <c r="B129" s="71" t="s">
        <v>114</v>
      </c>
      <c r="C129" s="68"/>
      <c r="D129" s="67">
        <v>2</v>
      </c>
      <c r="E129" s="57" t="s">
        <v>20</v>
      </c>
      <c r="F129" s="56" t="str">
        <f>IF(B57="","",B57)</f>
        <v>Frequency</v>
      </c>
      <c r="G129" s="63"/>
      <c r="H129" s="57" t="str">
        <f>IF(D57="","",D57)</f>
        <v>any</v>
      </c>
      <c r="I129" s="57" t="str">
        <f>IF(AND(EXACT(D9,"Yes"),ISTEXT(D9)),B9,"")</f>
        <v/>
      </c>
      <c r="J129" s="57"/>
      <c r="K129" s="18"/>
      <c r="L129" s="69"/>
    </row>
    <row r="130" spans="1:12" s="64" customFormat="1" ht="22.15" customHeight="1" x14ac:dyDescent="0.2">
      <c r="A130" s="65"/>
      <c r="B130" s="128" t="s">
        <v>35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</row>
    <row r="131" spans="1:12" s="70" customFormat="1" ht="22.15" customHeight="1" x14ac:dyDescent="0.2">
      <c r="A131" s="66"/>
      <c r="B131" s="67">
        <v>1</v>
      </c>
      <c r="C131" s="68"/>
      <c r="D131" s="67">
        <v>1</v>
      </c>
      <c r="E131" s="57" t="s">
        <v>20</v>
      </c>
      <c r="F131" s="18"/>
      <c r="G131" s="18"/>
      <c r="H131" s="18"/>
      <c r="I131" s="57" t="str">
        <f>IF(AND(EXACT(D8,"Yes"),ISTEXT(D8)),B8,"")</f>
        <v/>
      </c>
      <c r="J131" s="57" t="str">
        <f>IF(AND(EXACT(D8,"Yes"),ISTEXT(D8)),E8,"")</f>
        <v/>
      </c>
      <c r="K131" s="18"/>
      <c r="L131" s="69"/>
    </row>
    <row r="132" spans="1:12" s="64" customFormat="1" ht="22.15" customHeight="1" x14ac:dyDescent="0.2">
      <c r="A132" s="65"/>
      <c r="B132" s="128" t="s">
        <v>36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</row>
    <row r="133" spans="1:12" s="70" customFormat="1" ht="22.15" customHeight="1" x14ac:dyDescent="0.2">
      <c r="A133" s="66"/>
      <c r="B133" s="67">
        <v>1</v>
      </c>
      <c r="C133" s="82"/>
      <c r="D133" s="67">
        <v>1</v>
      </c>
      <c r="E133" s="57" t="s">
        <v>20</v>
      </c>
      <c r="F133" s="18"/>
      <c r="G133" s="18"/>
      <c r="H133" s="18"/>
      <c r="I133" s="57" t="str">
        <f>IF(AND(EXACT(D9,"Yes"),ISTEXT(D9)),B9,"")</f>
        <v/>
      </c>
      <c r="J133" s="57"/>
      <c r="K133" s="18"/>
      <c r="L133" s="69"/>
    </row>
    <row r="134" spans="1:12" s="64" customFormat="1" ht="22.15" customHeight="1" x14ac:dyDescent="0.2">
      <c r="A134" s="65"/>
      <c r="B134" s="128" t="s">
        <v>61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</row>
    <row r="135" spans="1:12" s="70" customFormat="1" ht="22.15" customHeight="1" x14ac:dyDescent="0.2">
      <c r="A135" s="66"/>
      <c r="B135" s="71" t="s">
        <v>113</v>
      </c>
      <c r="C135" s="82"/>
      <c r="D135" s="67">
        <v>1</v>
      </c>
      <c r="E135" s="57" t="s">
        <v>20</v>
      </c>
      <c r="F135" s="56" t="str">
        <f>IF(B27="","",B27)</f>
        <v>Power total</v>
      </c>
      <c r="G135" s="63"/>
      <c r="H135" s="57" t="str">
        <f>IF(D27="","",D27)</f>
        <v>consume</v>
      </c>
      <c r="I135" s="57" t="str">
        <f>IF(AND(EXACT(D8,"Yes"),ISTEXT(D8)),B8,"")</f>
        <v/>
      </c>
      <c r="J135" s="57" t="str">
        <f>IF(AND(EXACT(D8,"Yes"),ISTEXT(D8)),E8,"")</f>
        <v/>
      </c>
      <c r="K135" s="18"/>
      <c r="L135" s="69"/>
    </row>
    <row r="136" spans="1:12" s="70" customFormat="1" ht="22.15" customHeight="1" x14ac:dyDescent="0.2">
      <c r="A136" s="66"/>
      <c r="B136" s="71" t="s">
        <v>114</v>
      </c>
      <c r="C136" s="82"/>
      <c r="D136" s="67">
        <v>2</v>
      </c>
      <c r="E136" s="57" t="s">
        <v>20</v>
      </c>
      <c r="F136" s="56" t="str">
        <f>IF(B27="","",B27)</f>
        <v>Power total</v>
      </c>
      <c r="G136" s="63"/>
      <c r="H136" s="57" t="str">
        <f>IF(D27="","",D27)</f>
        <v>consume</v>
      </c>
      <c r="I136" s="57" t="str">
        <f>IF(AND(EXACT(D9,"Yes"),ISTEXT(D9)),B9,"")</f>
        <v/>
      </c>
      <c r="J136" s="57"/>
      <c r="K136" s="18"/>
      <c r="L136" s="69"/>
    </row>
    <row r="137" spans="1:12" s="70" customFormat="1" ht="22.15" customHeight="1" x14ac:dyDescent="0.2">
      <c r="A137" s="66"/>
      <c r="B137" s="71" t="s">
        <v>115</v>
      </c>
      <c r="C137" s="82"/>
      <c r="D137" s="67">
        <v>1</v>
      </c>
      <c r="E137" s="57" t="s">
        <v>20</v>
      </c>
      <c r="F137" s="56" t="str">
        <f>IF(B27="","",B27)</f>
        <v>Power total</v>
      </c>
      <c r="G137" s="63"/>
      <c r="H137" s="57" t="str">
        <f>IF(D28="","",D28)</f>
        <v>produce</v>
      </c>
      <c r="I137" s="57" t="str">
        <f>IF(AND(EXACT(D8,"Yes"),ISTEXT(D8)),B8,"")</f>
        <v/>
      </c>
      <c r="J137" s="57" t="str">
        <f>IF(AND(EXACT(D8,"Yes"),ISTEXT(D8)),E8,"")</f>
        <v/>
      </c>
      <c r="K137" s="18"/>
      <c r="L137" s="69"/>
    </row>
    <row r="138" spans="1:12" s="70" customFormat="1" ht="22.15" customHeight="1" x14ac:dyDescent="0.2">
      <c r="A138" s="66"/>
      <c r="B138" s="71" t="s">
        <v>116</v>
      </c>
      <c r="C138" s="82"/>
      <c r="D138" s="67">
        <v>2</v>
      </c>
      <c r="E138" s="57" t="s">
        <v>20</v>
      </c>
      <c r="F138" s="56" t="str">
        <f>IF(B27="","",B27)</f>
        <v>Power total</v>
      </c>
      <c r="G138" s="63"/>
      <c r="H138" s="57" t="str">
        <f>IF(D28="","",D28)</f>
        <v>produce</v>
      </c>
      <c r="I138" s="57" t="str">
        <f>IF(AND(EXACT(D9,"Yes"),ISTEXT(D9)),B9,"")</f>
        <v/>
      </c>
      <c r="J138" s="57"/>
      <c r="K138" s="18"/>
      <c r="L138" s="69"/>
    </row>
    <row r="139" spans="1:12" s="64" customFormat="1" ht="22.15" customHeight="1" x14ac:dyDescent="0.2">
      <c r="A139" s="65"/>
      <c r="B139" s="128" t="s">
        <v>62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</row>
    <row r="140" spans="1:12" s="70" customFormat="1" ht="22.15" customHeight="1" x14ac:dyDescent="0.2">
      <c r="A140" s="66"/>
      <c r="B140" s="67">
        <v>1</v>
      </c>
      <c r="C140" s="82"/>
      <c r="D140" s="67">
        <v>1</v>
      </c>
      <c r="E140" s="57" t="s">
        <v>21</v>
      </c>
      <c r="F140" s="57" t="str">
        <f>IF(B27="","",B27)</f>
        <v>Power total</v>
      </c>
      <c r="G140" s="63"/>
      <c r="H140" s="57" t="str">
        <f>IF(D27="","",D27)</f>
        <v>consume</v>
      </c>
      <c r="I140" s="57" t="str">
        <f>IF(AND(EXACT(D8, "Yes"), EXACT(D9, "Yes")), B8 &amp; ", " &amp; B9, IF(EXACT(D8, "Yes"), B8, IF(EXACT(D9, "Yes"), B9, "")))</f>
        <v/>
      </c>
      <c r="J140" s="57" t="str">
        <f>IF(AND(EXACT(D8,"Yes"),ISTEXT(D8)),E8,"")</f>
        <v/>
      </c>
      <c r="K140" s="18"/>
      <c r="L140" s="69"/>
    </row>
    <row r="141" spans="1:12" s="70" customFormat="1" ht="22.15" customHeight="1" x14ac:dyDescent="0.2">
      <c r="A141" s="66"/>
      <c r="B141" s="67">
        <v>2</v>
      </c>
      <c r="C141" s="82"/>
      <c r="D141" s="67">
        <v>1</v>
      </c>
      <c r="E141" s="57" t="s">
        <v>22</v>
      </c>
      <c r="F141" s="57" t="str">
        <f>IF(B27="","",B27)</f>
        <v>Power total</v>
      </c>
      <c r="G141" s="63"/>
      <c r="H141" s="57" t="str">
        <f>IF(D27="","",D27)</f>
        <v>consume</v>
      </c>
      <c r="I141" s="57" t="str">
        <f>IF(AND(EXACT(D8, "Yes"), EXACT(D9, "Yes")), B8 &amp; ", " &amp; B9, IF(EXACT(D8, "Yes"), B8, IF(EXACT(D9, "Yes"), B9, "")))</f>
        <v/>
      </c>
      <c r="J141" s="57" t="str">
        <f>IF(AND(EXACT(D8,"Yes"),ISTEXT(D8)),E8,"")</f>
        <v/>
      </c>
      <c r="K141" s="18"/>
      <c r="L141" s="69"/>
    </row>
    <row r="142" spans="1:12" s="70" customFormat="1" ht="22.15" customHeight="1" x14ac:dyDescent="0.2">
      <c r="A142" s="66"/>
      <c r="B142" s="67">
        <v>3</v>
      </c>
      <c r="C142" s="82"/>
      <c r="D142" s="67">
        <v>1</v>
      </c>
      <c r="E142" s="57" t="s">
        <v>21</v>
      </c>
      <c r="F142" s="57" t="str">
        <f>IF(B27="","",B27)</f>
        <v>Power total</v>
      </c>
      <c r="G142" s="63"/>
      <c r="H142" s="57" t="str">
        <f>IF(D28="","",D28)</f>
        <v>produce</v>
      </c>
      <c r="I142" s="57" t="str">
        <f>IF(AND(EXACT(D8, "Yes"), EXACT(D9, "Yes")), B8 &amp; ", " &amp; B9, IF(EXACT(D8, "Yes"), B8, IF(EXACT(D9, "Yes"), B9, "")))</f>
        <v/>
      </c>
      <c r="J142" s="57" t="str">
        <f>IF(AND(EXACT(D8,"Yes"),ISTEXT(D8)),E8,"")</f>
        <v/>
      </c>
      <c r="K142" s="18"/>
      <c r="L142" s="69"/>
    </row>
    <row r="143" spans="1:12" s="70" customFormat="1" ht="22.15" customHeight="1" x14ac:dyDescent="0.2">
      <c r="A143" s="66"/>
      <c r="B143" s="67">
        <v>4</v>
      </c>
      <c r="C143" s="82"/>
      <c r="D143" s="67">
        <v>1</v>
      </c>
      <c r="E143" s="57" t="s">
        <v>22</v>
      </c>
      <c r="F143" s="57" t="str">
        <f>IF(B27="","",B27)</f>
        <v>Power total</v>
      </c>
      <c r="G143" s="63"/>
      <c r="H143" s="57" t="str">
        <f>IF(D28="","",D28)</f>
        <v>produce</v>
      </c>
      <c r="I143" s="57" t="str">
        <f>IF(AND(EXACT(D8, "Yes"), EXACT(D9, "Yes")), B8 &amp; ", " &amp; B9, IF(EXACT(D8, "Yes"), B8, IF(EXACT(D9, "Yes"), B9, "")))</f>
        <v/>
      </c>
      <c r="J143" s="57" t="str">
        <f>IF(AND(EXACT(D8,"Yes"),ISTEXT(D8)),E8,"")</f>
        <v/>
      </c>
      <c r="K143" s="18"/>
      <c r="L143" s="69"/>
    </row>
    <row r="144" spans="1:12" s="64" customFormat="1" ht="22.15" customHeight="1" x14ac:dyDescent="0.2">
      <c r="A144" s="65"/>
      <c r="B144" s="128" t="s">
        <v>63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</row>
    <row r="145" spans="1:12" s="70" customFormat="1" ht="22.15" customHeight="1" x14ac:dyDescent="0.2">
      <c r="A145" s="66"/>
      <c r="B145" s="71" t="s">
        <v>113</v>
      </c>
      <c r="C145" s="68"/>
      <c r="D145" s="67">
        <v>1</v>
      </c>
      <c r="E145" s="57" t="s">
        <v>20</v>
      </c>
      <c r="F145" s="56" t="str">
        <f>IF(B30="","",B30)</f>
        <v>Phase A</v>
      </c>
      <c r="G145" s="63"/>
      <c r="H145" s="57" t="str">
        <f>IF(D30="","",D30)</f>
        <v>consume</v>
      </c>
      <c r="I145" s="57" t="str">
        <f>IF(AND(EXACT(D8,"Yes"),ISTEXT(D8)),B8,"")</f>
        <v/>
      </c>
      <c r="J145" s="57" t="str">
        <f>IF(AND(EXACT(D8,"Yes"),ISTEXT(D8)),E8,"")</f>
        <v/>
      </c>
      <c r="K145" s="18"/>
      <c r="L145" s="69"/>
    </row>
    <row r="146" spans="1:12" s="70" customFormat="1" ht="22.15" customHeight="1" x14ac:dyDescent="0.2">
      <c r="A146" s="66"/>
      <c r="B146" s="71" t="s">
        <v>114</v>
      </c>
      <c r="C146" s="68"/>
      <c r="D146" s="67">
        <v>2</v>
      </c>
      <c r="E146" s="57" t="s">
        <v>20</v>
      </c>
      <c r="F146" s="56" t="str">
        <f>IF(B30="","",B30)</f>
        <v>Phase A</v>
      </c>
      <c r="G146" s="63"/>
      <c r="H146" s="57" t="str">
        <f>IF(D30="","",D30)</f>
        <v>consume</v>
      </c>
      <c r="I146" s="57" t="str">
        <f>IF(AND(EXACT(D9,"Yes"),ISTEXT(D9)),B9,"")</f>
        <v/>
      </c>
      <c r="J146" s="57"/>
      <c r="K146" s="18"/>
      <c r="L146" s="69"/>
    </row>
    <row r="147" spans="1:12" s="70" customFormat="1" ht="22.15" customHeight="1" x14ac:dyDescent="0.2">
      <c r="A147" s="66"/>
      <c r="B147" s="71" t="s">
        <v>115</v>
      </c>
      <c r="C147" s="68"/>
      <c r="D147" s="67">
        <v>1</v>
      </c>
      <c r="E147" s="57" t="s">
        <v>20</v>
      </c>
      <c r="F147" s="56" t="str">
        <f>IF(B30="","",B30)</f>
        <v>Phase A</v>
      </c>
      <c r="G147" s="63"/>
      <c r="H147" s="57" t="str">
        <f>IF(D31="","",D31)</f>
        <v>produce</v>
      </c>
      <c r="I147" s="57" t="str">
        <f>IF(AND(EXACT(D8,"Yes"),ISTEXT(D8)),B8,"")</f>
        <v/>
      </c>
      <c r="J147" s="57" t="str">
        <f>IF(AND(EXACT(D8,"Yes"),ISTEXT(D8)),E8,"")</f>
        <v/>
      </c>
      <c r="K147" s="18"/>
      <c r="L147" s="69"/>
    </row>
    <row r="148" spans="1:12" s="70" customFormat="1" ht="22.15" customHeight="1" x14ac:dyDescent="0.2">
      <c r="A148" s="66"/>
      <c r="B148" s="71" t="s">
        <v>116</v>
      </c>
      <c r="C148" s="68"/>
      <c r="D148" s="67">
        <v>2</v>
      </c>
      <c r="E148" s="57" t="s">
        <v>20</v>
      </c>
      <c r="F148" s="56" t="str">
        <f>IF(B30="","",B30)</f>
        <v>Phase A</v>
      </c>
      <c r="G148" s="63"/>
      <c r="H148" s="57" t="str">
        <f>IF(D31="","",D31)</f>
        <v>produce</v>
      </c>
      <c r="I148" s="57" t="str">
        <f>IF(AND(EXACT(D9,"Yes"),ISTEXT(D9)),B9,"")</f>
        <v/>
      </c>
      <c r="J148" s="57"/>
      <c r="K148" s="18"/>
      <c r="L148" s="69"/>
    </row>
    <row r="149" spans="1:12" s="64" customFormat="1" ht="22.15" customHeight="1" x14ac:dyDescent="0.2">
      <c r="A149" s="65"/>
      <c r="B149" s="128" t="s">
        <v>64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</row>
    <row r="150" spans="1:12" s="70" customFormat="1" ht="22.15" customHeight="1" x14ac:dyDescent="0.2">
      <c r="A150" s="66"/>
      <c r="B150" s="67">
        <v>1</v>
      </c>
      <c r="C150" s="68"/>
      <c r="D150" s="67">
        <v>1</v>
      </c>
      <c r="E150" s="57" t="s">
        <v>21</v>
      </c>
      <c r="F150" s="57" t="str">
        <f>IF(B30="","",B30)</f>
        <v>Phase A</v>
      </c>
      <c r="G150" s="63"/>
      <c r="H150" s="57" t="str">
        <f>IF(D30="","",D30)</f>
        <v>consume</v>
      </c>
      <c r="I150" s="57" t="str">
        <f>IF(AND(EXACT(D8,"Yes"),ISTEXT(D8)),B8,"")</f>
        <v/>
      </c>
      <c r="J150" s="57" t="str">
        <f>IF(AND(EXACT(D8,"Yes"),ISTEXT(D8)),E8,"")</f>
        <v/>
      </c>
      <c r="K150" s="18"/>
      <c r="L150" s="69"/>
    </row>
    <row r="151" spans="1:12" s="70" customFormat="1" ht="22.15" customHeight="1" x14ac:dyDescent="0.2">
      <c r="A151" s="66"/>
      <c r="B151" s="67">
        <v>2</v>
      </c>
      <c r="C151" s="68"/>
      <c r="D151" s="67">
        <v>1</v>
      </c>
      <c r="E151" s="57" t="s">
        <v>22</v>
      </c>
      <c r="F151" s="57" t="str">
        <f>IF(B30="","",B30)</f>
        <v>Phase A</v>
      </c>
      <c r="G151" s="63"/>
      <c r="H151" s="57" t="str">
        <f>IF(D30="","",D30)</f>
        <v>consume</v>
      </c>
      <c r="I151" s="57" t="str">
        <f>IF(AND(EXACT(D8,"Yes"),ISTEXT(D8)),B8,"")</f>
        <v/>
      </c>
      <c r="J151" s="57" t="str">
        <f>IF(AND(EXACT(D8,"Yes"),ISTEXT(D8)),E8,"")</f>
        <v/>
      </c>
      <c r="K151" s="18"/>
      <c r="L151" s="69"/>
    </row>
    <row r="152" spans="1:12" s="70" customFormat="1" ht="22.15" customHeight="1" x14ac:dyDescent="0.2">
      <c r="A152" s="66"/>
      <c r="B152" s="67">
        <v>3</v>
      </c>
      <c r="C152" s="68"/>
      <c r="D152" s="67">
        <v>1</v>
      </c>
      <c r="E152" s="57" t="s">
        <v>21</v>
      </c>
      <c r="F152" s="57" t="str">
        <f>IF(B30="","",B30)</f>
        <v>Phase A</v>
      </c>
      <c r="G152" s="63"/>
      <c r="H152" s="57" t="str">
        <f>IF(D31="","",D31)</f>
        <v>produce</v>
      </c>
      <c r="I152" s="57" t="str">
        <f>IF(AND(EXACT(D8,"Yes"),ISTEXT(D8)),B8,"")</f>
        <v/>
      </c>
      <c r="J152" s="57" t="str">
        <f>IF(AND(EXACT(D8,"Yes"),ISTEXT(D8)),E8,"")</f>
        <v/>
      </c>
      <c r="K152" s="18"/>
      <c r="L152" s="69"/>
    </row>
    <row r="153" spans="1:12" s="70" customFormat="1" ht="22.15" customHeight="1" x14ac:dyDescent="0.2">
      <c r="A153" s="66"/>
      <c r="B153" s="67">
        <v>4</v>
      </c>
      <c r="C153" s="68"/>
      <c r="D153" s="67">
        <v>1</v>
      </c>
      <c r="E153" s="57" t="s">
        <v>22</v>
      </c>
      <c r="F153" s="57" t="str">
        <f>IF(B30="","",B30)</f>
        <v>Phase A</v>
      </c>
      <c r="G153" s="63"/>
      <c r="H153" s="57" t="str">
        <f>IF(D31="","",D31)</f>
        <v>produce</v>
      </c>
      <c r="I153" s="57" t="str">
        <f>IF(AND(EXACT(D8,"Yes"),ISTEXT(D8)),B8,"")</f>
        <v/>
      </c>
      <c r="J153" s="57" t="str">
        <f>IF(AND(EXACT(D8,"Yes"),ISTEXT(D8)),E8,"")</f>
        <v/>
      </c>
      <c r="K153" s="18"/>
      <c r="L153" s="69"/>
    </row>
    <row r="154" spans="1:12" s="64" customFormat="1" ht="22.15" customHeight="1" x14ac:dyDescent="0.2">
      <c r="A154" s="65"/>
      <c r="B154" s="128" t="s">
        <v>65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</row>
    <row r="155" spans="1:12" s="70" customFormat="1" ht="22.15" customHeight="1" x14ac:dyDescent="0.2">
      <c r="A155" s="66"/>
      <c r="B155" s="71" t="s">
        <v>113</v>
      </c>
      <c r="C155" s="68"/>
      <c r="D155" s="67">
        <v>1</v>
      </c>
      <c r="E155" s="57" t="s">
        <v>20</v>
      </c>
      <c r="F155" s="56" t="str">
        <f>IF(B32="","",B32)</f>
        <v>Phase B</v>
      </c>
      <c r="G155" s="63"/>
      <c r="H155" s="57" t="str">
        <f>IF(D32="","",D32)</f>
        <v>consume</v>
      </c>
      <c r="I155" s="57" t="str">
        <f>IF(AND(EXACT(D8,"Yes"),ISTEXT(D8)),B8,"")</f>
        <v/>
      </c>
      <c r="J155" s="57" t="str">
        <f>IF(AND(EXACT(D8,"Yes"),ISTEXT(D8)),E8,"")</f>
        <v/>
      </c>
      <c r="K155" s="18"/>
      <c r="L155" s="69"/>
    </row>
    <row r="156" spans="1:12" s="70" customFormat="1" ht="22.15" customHeight="1" x14ac:dyDescent="0.2">
      <c r="A156" s="66"/>
      <c r="B156" s="71" t="s">
        <v>114</v>
      </c>
      <c r="C156" s="68"/>
      <c r="D156" s="67">
        <v>2</v>
      </c>
      <c r="E156" s="57" t="s">
        <v>20</v>
      </c>
      <c r="F156" s="56" t="str">
        <f>IF(B32="","",B32)</f>
        <v>Phase B</v>
      </c>
      <c r="G156" s="63"/>
      <c r="H156" s="57" t="str">
        <f>IF(D32="","",D32)</f>
        <v>consume</v>
      </c>
      <c r="I156" s="57" t="str">
        <f>IF(AND(EXACT(D9,"Yes"),ISTEXT(D9)),B9,"")</f>
        <v/>
      </c>
      <c r="J156" s="57"/>
      <c r="K156" s="18"/>
      <c r="L156" s="69"/>
    </row>
    <row r="157" spans="1:12" s="70" customFormat="1" ht="22.15" customHeight="1" x14ac:dyDescent="0.2">
      <c r="A157" s="66"/>
      <c r="B157" s="71" t="s">
        <v>115</v>
      </c>
      <c r="C157" s="68"/>
      <c r="D157" s="67">
        <v>1</v>
      </c>
      <c r="E157" s="57" t="s">
        <v>20</v>
      </c>
      <c r="F157" s="56" t="str">
        <f>IF(B32="","",B32)</f>
        <v>Phase B</v>
      </c>
      <c r="G157" s="63"/>
      <c r="H157" s="57" t="str">
        <f>IF(D33="","",D33)</f>
        <v>produce</v>
      </c>
      <c r="I157" s="57" t="str">
        <f>IF(AND(EXACT(D8,"Yes"),ISTEXT(D8)),B8,"")</f>
        <v/>
      </c>
      <c r="J157" s="57" t="str">
        <f>IF(AND(EXACT(D8,"Yes"),ISTEXT(D8)),E8,"")</f>
        <v/>
      </c>
      <c r="K157" s="18"/>
      <c r="L157" s="69"/>
    </row>
    <row r="158" spans="1:12" s="70" customFormat="1" ht="22.15" customHeight="1" x14ac:dyDescent="0.2">
      <c r="A158" s="66"/>
      <c r="B158" s="71" t="s">
        <v>116</v>
      </c>
      <c r="C158" s="68"/>
      <c r="D158" s="67">
        <v>2</v>
      </c>
      <c r="E158" s="57" t="s">
        <v>20</v>
      </c>
      <c r="F158" s="56" t="str">
        <f>IF(B32="","",B32)</f>
        <v>Phase B</v>
      </c>
      <c r="G158" s="63"/>
      <c r="H158" s="57" t="str">
        <f>IF(D33="","",D33)</f>
        <v>produce</v>
      </c>
      <c r="I158" s="57" t="str">
        <f>IF(AND(EXACT(D9,"Yes"),ISTEXT(D9)),B9,"")</f>
        <v/>
      </c>
      <c r="J158" s="57"/>
      <c r="K158" s="18"/>
      <c r="L158" s="69"/>
    </row>
    <row r="159" spans="1:12" s="64" customFormat="1" ht="22.15" customHeight="1" x14ac:dyDescent="0.2">
      <c r="A159" s="65"/>
      <c r="B159" s="128" t="s">
        <v>66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</row>
    <row r="160" spans="1:12" s="70" customFormat="1" ht="22.15" customHeight="1" x14ac:dyDescent="0.2">
      <c r="A160" s="66"/>
      <c r="B160" s="67">
        <v>1</v>
      </c>
      <c r="C160" s="68"/>
      <c r="D160" s="67">
        <v>1</v>
      </c>
      <c r="E160" s="57" t="s">
        <v>21</v>
      </c>
      <c r="F160" s="57" t="str">
        <f>IF(B32="","",B32)</f>
        <v>Phase B</v>
      </c>
      <c r="G160" s="63"/>
      <c r="H160" s="57" t="str">
        <f>IF(D32="","",D32)</f>
        <v>consume</v>
      </c>
      <c r="I160" s="57" t="str">
        <f>IF(AND(EXACT(D8,"Yes"),ISTEXT(D8)),B8,"")</f>
        <v/>
      </c>
      <c r="J160" s="57" t="str">
        <f>IF(AND(EXACT(D8,"Yes"),ISTEXT(D8)),E8,"")</f>
        <v/>
      </c>
      <c r="K160" s="18"/>
      <c r="L160" s="69"/>
    </row>
    <row r="161" spans="1:12" s="70" customFormat="1" ht="22.15" customHeight="1" x14ac:dyDescent="0.2">
      <c r="A161" s="66"/>
      <c r="B161" s="67">
        <v>2</v>
      </c>
      <c r="C161" s="68"/>
      <c r="D161" s="67">
        <v>1</v>
      </c>
      <c r="E161" s="57" t="s">
        <v>22</v>
      </c>
      <c r="F161" s="57" t="str">
        <f>IF(B32="","",B32)</f>
        <v>Phase B</v>
      </c>
      <c r="G161" s="63"/>
      <c r="H161" s="57" t="str">
        <f>IF(D32="","",D32)</f>
        <v>consume</v>
      </c>
      <c r="I161" s="57" t="str">
        <f>IF(AND(EXACT(D8,"Yes"),ISTEXT(D8)),B8,"")</f>
        <v/>
      </c>
      <c r="J161" s="57" t="str">
        <f>IF(AND(EXACT(D8,"Yes"),ISTEXT(D8)),E8,"")</f>
        <v/>
      </c>
      <c r="K161" s="18"/>
      <c r="L161" s="69"/>
    </row>
    <row r="162" spans="1:12" s="70" customFormat="1" ht="22.15" customHeight="1" x14ac:dyDescent="0.2">
      <c r="A162" s="66"/>
      <c r="B162" s="67">
        <v>3</v>
      </c>
      <c r="C162" s="68"/>
      <c r="D162" s="67">
        <v>1</v>
      </c>
      <c r="E162" s="57" t="s">
        <v>21</v>
      </c>
      <c r="F162" s="57" t="str">
        <f>IF(B32="","",B32)</f>
        <v>Phase B</v>
      </c>
      <c r="G162" s="63"/>
      <c r="H162" s="57" t="str">
        <f>IF(D33="","",D33)</f>
        <v>produce</v>
      </c>
      <c r="I162" s="57" t="str">
        <f>IF(AND(EXACT(D8,"Yes"),ISTEXT(D8)),B8,"")</f>
        <v/>
      </c>
      <c r="J162" s="57" t="str">
        <f>IF(AND(EXACT(D8,"Yes"),ISTEXT(D8)),E8,"")</f>
        <v/>
      </c>
      <c r="K162" s="18"/>
      <c r="L162" s="69"/>
    </row>
    <row r="163" spans="1:12" s="70" customFormat="1" ht="22.15" customHeight="1" x14ac:dyDescent="0.2">
      <c r="A163" s="66"/>
      <c r="B163" s="67">
        <v>4</v>
      </c>
      <c r="C163" s="68"/>
      <c r="D163" s="67">
        <v>1</v>
      </c>
      <c r="E163" s="57" t="s">
        <v>22</v>
      </c>
      <c r="F163" s="57" t="str">
        <f>IF(B32="","",B32)</f>
        <v>Phase B</v>
      </c>
      <c r="G163" s="63"/>
      <c r="H163" s="57" t="str">
        <f>IF(D33="","",D33)</f>
        <v>produce</v>
      </c>
      <c r="I163" s="57" t="str">
        <f>IF(AND(EXACT(D8,"Yes"),ISTEXT(D8)),B8,"")</f>
        <v/>
      </c>
      <c r="J163" s="57" t="str">
        <f>IF(AND(EXACT(D8,"Yes"),ISTEXT(D8)),E8,"")</f>
        <v/>
      </c>
      <c r="K163" s="18"/>
      <c r="L163" s="69"/>
    </row>
    <row r="164" spans="1:12" s="64" customFormat="1" ht="22.15" customHeight="1" x14ac:dyDescent="0.2">
      <c r="A164" s="65"/>
      <c r="B164" s="128" t="s">
        <v>67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</row>
    <row r="165" spans="1:12" s="70" customFormat="1" ht="22.15" customHeight="1" x14ac:dyDescent="0.2">
      <c r="A165" s="66"/>
      <c r="B165" s="71" t="s">
        <v>113</v>
      </c>
      <c r="C165" s="68"/>
      <c r="D165" s="67">
        <v>1</v>
      </c>
      <c r="E165" s="57" t="s">
        <v>20</v>
      </c>
      <c r="F165" s="56" t="str">
        <f>IF(B34="","",B34)</f>
        <v>Phase C</v>
      </c>
      <c r="G165" s="63"/>
      <c r="H165" s="57" t="str">
        <f>IF(D34="","",D34)</f>
        <v>consume</v>
      </c>
      <c r="I165" s="57" t="str">
        <f>IF(AND(EXACT(D8,"Yes"),ISTEXT(D8)),B8,"")</f>
        <v/>
      </c>
      <c r="J165" s="57" t="str">
        <f>IF(AND(EXACT(D8,"Yes"),ISTEXT(D8)),E8,"")</f>
        <v/>
      </c>
      <c r="K165" s="18"/>
      <c r="L165" s="69"/>
    </row>
    <row r="166" spans="1:12" s="70" customFormat="1" ht="22.15" customHeight="1" x14ac:dyDescent="0.2">
      <c r="A166" s="66"/>
      <c r="B166" s="71" t="s">
        <v>114</v>
      </c>
      <c r="C166" s="68"/>
      <c r="D166" s="67">
        <v>2</v>
      </c>
      <c r="E166" s="57" t="s">
        <v>20</v>
      </c>
      <c r="F166" s="56" t="str">
        <f>IF(B34="","",B34)</f>
        <v>Phase C</v>
      </c>
      <c r="G166" s="63"/>
      <c r="H166" s="57" t="str">
        <f>IF(D34="","",D34)</f>
        <v>consume</v>
      </c>
      <c r="I166" s="57" t="str">
        <f>IF(AND(EXACT(D9,"Yes"),ISTEXT(D9)),B9,"")</f>
        <v/>
      </c>
      <c r="J166" s="57"/>
      <c r="K166" s="18"/>
      <c r="L166" s="69"/>
    </row>
    <row r="167" spans="1:12" s="70" customFormat="1" ht="22.15" customHeight="1" x14ac:dyDescent="0.2">
      <c r="A167" s="66"/>
      <c r="B167" s="71" t="s">
        <v>115</v>
      </c>
      <c r="C167" s="68"/>
      <c r="D167" s="67">
        <v>1</v>
      </c>
      <c r="E167" s="57" t="s">
        <v>20</v>
      </c>
      <c r="F167" s="56" t="str">
        <f>IF(B34="","",B34)</f>
        <v>Phase C</v>
      </c>
      <c r="G167" s="63"/>
      <c r="H167" s="57" t="str">
        <f>IF(D35="","",D35)</f>
        <v>produce</v>
      </c>
      <c r="I167" s="57" t="str">
        <f>IF(AND(EXACT(D8,"Yes"),ISTEXT(D8)),B8,"")</f>
        <v/>
      </c>
      <c r="J167" s="57" t="str">
        <f>IF(AND(EXACT(D8,"Yes"),ISTEXT(D8)),E8,"")</f>
        <v/>
      </c>
      <c r="K167" s="18"/>
      <c r="L167" s="69"/>
    </row>
    <row r="168" spans="1:12" s="70" customFormat="1" ht="22.15" customHeight="1" x14ac:dyDescent="0.2">
      <c r="A168" s="66"/>
      <c r="B168" s="71" t="s">
        <v>116</v>
      </c>
      <c r="C168" s="68"/>
      <c r="D168" s="67">
        <v>2</v>
      </c>
      <c r="E168" s="57" t="s">
        <v>20</v>
      </c>
      <c r="F168" s="56" t="str">
        <f>IF(B34="","",B34)</f>
        <v>Phase C</v>
      </c>
      <c r="G168" s="63"/>
      <c r="H168" s="57" t="str">
        <f>IF(D35="","",D35)</f>
        <v>produce</v>
      </c>
      <c r="I168" s="57" t="str">
        <f>IF(AND(EXACT(D9,"Yes"),ISTEXT(D9)),B9,"")</f>
        <v/>
      </c>
      <c r="J168" s="57"/>
      <c r="K168" s="18"/>
      <c r="L168" s="69"/>
    </row>
    <row r="169" spans="1:12" s="64" customFormat="1" ht="22.15" customHeight="1" x14ac:dyDescent="0.2">
      <c r="A169" s="65"/>
      <c r="B169" s="128" t="s">
        <v>68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</row>
    <row r="170" spans="1:12" s="70" customFormat="1" ht="22.15" customHeight="1" x14ac:dyDescent="0.2">
      <c r="A170" s="66"/>
      <c r="B170" s="67">
        <v>1</v>
      </c>
      <c r="C170" s="68"/>
      <c r="D170" s="67">
        <v>1</v>
      </c>
      <c r="E170" s="57" t="s">
        <v>21</v>
      </c>
      <c r="F170" s="57" t="str">
        <f>IF(B34="","",B34)</f>
        <v>Phase C</v>
      </c>
      <c r="G170" s="63"/>
      <c r="H170" s="57" t="str">
        <f>IF(D34="","",D34)</f>
        <v>consume</v>
      </c>
      <c r="I170" s="57" t="str">
        <f>IF(AND(EXACT(D8,"Yes"),ISTEXT(D8)),B8,"")</f>
        <v/>
      </c>
      <c r="J170" s="57" t="str">
        <f>IF(AND(EXACT(D8,"Yes"),ISTEXT(D8)),E8,"")</f>
        <v/>
      </c>
      <c r="K170" s="18"/>
      <c r="L170" s="69"/>
    </row>
    <row r="171" spans="1:12" s="70" customFormat="1" ht="22.15" customHeight="1" x14ac:dyDescent="0.2">
      <c r="A171" s="66"/>
      <c r="B171" s="67">
        <v>2</v>
      </c>
      <c r="C171" s="68"/>
      <c r="D171" s="67">
        <v>1</v>
      </c>
      <c r="E171" s="57" t="s">
        <v>22</v>
      </c>
      <c r="F171" s="57" t="str">
        <f>IF(B34="","",B34)</f>
        <v>Phase C</v>
      </c>
      <c r="G171" s="63"/>
      <c r="H171" s="57" t="str">
        <f>IF(D34="","",D34)</f>
        <v>consume</v>
      </c>
      <c r="I171" s="57" t="str">
        <f>IF(AND(EXACT(D8,"Yes"),ISTEXT(D8)),B8,"")</f>
        <v/>
      </c>
      <c r="J171" s="57" t="str">
        <f>IF(AND(EXACT(D8,"Yes"),ISTEXT(D8)),E8,"")</f>
        <v/>
      </c>
      <c r="K171" s="18"/>
      <c r="L171" s="69"/>
    </row>
    <row r="172" spans="1:12" s="70" customFormat="1" ht="22.15" customHeight="1" x14ac:dyDescent="0.2">
      <c r="A172" s="66"/>
      <c r="B172" s="67">
        <v>3</v>
      </c>
      <c r="C172" s="68"/>
      <c r="D172" s="67">
        <v>1</v>
      </c>
      <c r="E172" s="57" t="s">
        <v>21</v>
      </c>
      <c r="F172" s="57" t="str">
        <f>IF(B34="","",B34)</f>
        <v>Phase C</v>
      </c>
      <c r="G172" s="63"/>
      <c r="H172" s="57" t="str">
        <f>IF(D35="","",D35)</f>
        <v>produce</v>
      </c>
      <c r="I172" s="57" t="str">
        <f>IF(AND(EXACT(D8,"Yes"),ISTEXT(D8)),B8,"")</f>
        <v/>
      </c>
      <c r="J172" s="57" t="str">
        <f>IF(AND(EXACT(D8,"Yes"),ISTEXT(D8)),E8,"")</f>
        <v/>
      </c>
      <c r="K172" s="18"/>
      <c r="L172" s="69"/>
    </row>
    <row r="173" spans="1:12" s="70" customFormat="1" ht="22.15" customHeight="1" x14ac:dyDescent="0.2">
      <c r="A173" s="66"/>
      <c r="B173" s="67">
        <v>4</v>
      </c>
      <c r="C173" s="68"/>
      <c r="D173" s="67">
        <v>1</v>
      </c>
      <c r="E173" s="57" t="s">
        <v>22</v>
      </c>
      <c r="F173" s="57" t="str">
        <f>IF(B34="","",B34)</f>
        <v>Phase C</v>
      </c>
      <c r="G173" s="63"/>
      <c r="H173" s="57" t="str">
        <f>IF(D35="","",D35)</f>
        <v>produce</v>
      </c>
      <c r="I173" s="57" t="str">
        <f>IF(AND(EXACT(D8,"Yes"),ISTEXT(D8)),B8,"")</f>
        <v/>
      </c>
      <c r="J173" s="57" t="str">
        <f>IF(AND(EXACT(D8,"Yes"),ISTEXT(D8)),E8,"")</f>
        <v/>
      </c>
      <c r="K173" s="18"/>
      <c r="L173" s="69"/>
    </row>
    <row r="174" spans="1:12" s="64" customFormat="1" ht="22.15" customHeight="1" x14ac:dyDescent="0.2">
      <c r="A174" s="65"/>
      <c r="B174" s="128" t="s">
        <v>69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</row>
    <row r="175" spans="1:12" s="70" customFormat="1" ht="22.15" customHeight="1" x14ac:dyDescent="0.2">
      <c r="A175" s="66"/>
      <c r="B175" s="71" t="s">
        <v>113</v>
      </c>
      <c r="C175" s="68"/>
      <c r="D175" s="67">
        <v>1</v>
      </c>
      <c r="E175" s="57" t="s">
        <v>20</v>
      </c>
      <c r="F175" s="56" t="str">
        <f>IF(B37="","",B37)</f>
        <v>Total consumed energy</v>
      </c>
      <c r="G175" s="63"/>
      <c r="H175" s="57" t="str">
        <f>IF(D37="","",D37)</f>
        <v>consume</v>
      </c>
      <c r="I175" s="57" t="str">
        <f>IF(AND(EXACT(D8,"Yes"),ISTEXT(D8)),B8,"")</f>
        <v/>
      </c>
      <c r="J175" s="57" t="str">
        <f>IF(AND(EXACT(D8,"Yes"),ISTEXT(D8)),E8,"")</f>
        <v/>
      </c>
      <c r="K175" s="18"/>
      <c r="L175" s="69"/>
    </row>
    <row r="176" spans="1:12" s="70" customFormat="1" ht="22.15" customHeight="1" x14ac:dyDescent="0.2">
      <c r="A176" s="66"/>
      <c r="B176" s="71" t="s">
        <v>114</v>
      </c>
      <c r="C176" s="68"/>
      <c r="D176" s="67">
        <v>2</v>
      </c>
      <c r="E176" s="57" t="s">
        <v>20</v>
      </c>
      <c r="F176" s="56" t="str">
        <f>IF(B37="","",B37)</f>
        <v>Total consumed energy</v>
      </c>
      <c r="G176" s="63"/>
      <c r="H176" s="57" t="str">
        <f>IF(D37="","",D37)</f>
        <v>consume</v>
      </c>
      <c r="I176" s="57" t="str">
        <f>IF(AND(EXACT(D9,"Yes"),ISTEXT(D9)),B9,"")</f>
        <v/>
      </c>
      <c r="J176" s="57"/>
      <c r="K176" s="18"/>
      <c r="L176" s="69"/>
    </row>
    <row r="177" spans="1:12" s="64" customFormat="1" ht="22.15" customHeight="1" x14ac:dyDescent="0.2">
      <c r="A177" s="65"/>
      <c r="B177" s="128" t="s">
        <v>70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</row>
    <row r="178" spans="1:12" s="70" customFormat="1" ht="22.15" customHeight="1" x14ac:dyDescent="0.2">
      <c r="A178" s="66"/>
      <c r="B178" s="67">
        <v>1</v>
      </c>
      <c r="C178" s="68"/>
      <c r="D178" s="67">
        <v>1</v>
      </c>
      <c r="E178" s="57" t="s">
        <v>21</v>
      </c>
      <c r="F178" s="57" t="str">
        <f>IF(B37="","",B37)</f>
        <v>Total consumed energy</v>
      </c>
      <c r="G178" s="63"/>
      <c r="H178" s="57" t="str">
        <f>IF(D37="","",D37)</f>
        <v>consume</v>
      </c>
      <c r="I178" s="57" t="str">
        <f>IF(AND(EXACT(D8,"Yes"),ISTEXT(D8)),B8,"")</f>
        <v/>
      </c>
      <c r="J178" s="57" t="str">
        <f>IF(AND(EXACT(D8,"Yes"),ISTEXT(D8)),E8,"")</f>
        <v/>
      </c>
      <c r="K178" s="18"/>
      <c r="L178" s="69"/>
    </row>
    <row r="179" spans="1:12" s="70" customFormat="1" ht="22.15" customHeight="1" x14ac:dyDescent="0.2">
      <c r="A179" s="66"/>
      <c r="B179" s="67">
        <v>2</v>
      </c>
      <c r="C179" s="68"/>
      <c r="D179" s="67">
        <v>1</v>
      </c>
      <c r="E179" s="57" t="s">
        <v>22</v>
      </c>
      <c r="F179" s="57" t="str">
        <f>IF(B37="","",B37)</f>
        <v>Total consumed energy</v>
      </c>
      <c r="G179" s="63"/>
      <c r="H179" s="57" t="str">
        <f>IF(D37="","",D37)</f>
        <v>consume</v>
      </c>
      <c r="I179" s="57" t="str">
        <f>IF(AND(EXACT(D8,"Yes"),ISTEXT(D8)),B8,"")</f>
        <v/>
      </c>
      <c r="J179" s="57" t="str">
        <f>IF(AND(EXACT(D8,"Yes"),ISTEXT(D8)),E8,"")</f>
        <v/>
      </c>
      <c r="K179" s="18"/>
      <c r="L179" s="69"/>
    </row>
    <row r="180" spans="1:12" s="64" customFormat="1" ht="22.15" customHeight="1" x14ac:dyDescent="0.2">
      <c r="A180" s="65"/>
      <c r="B180" s="128" t="s">
        <v>71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</row>
    <row r="181" spans="1:12" s="70" customFormat="1" ht="22.15" customHeight="1" x14ac:dyDescent="0.2">
      <c r="A181" s="66"/>
      <c r="B181" s="71" t="s">
        <v>113</v>
      </c>
      <c r="C181" s="68"/>
      <c r="D181" s="67">
        <v>1</v>
      </c>
      <c r="E181" s="57" t="s">
        <v>20</v>
      </c>
      <c r="F181" s="56" t="str">
        <f>IF(B40="","",B40)</f>
        <v>Total produced energy</v>
      </c>
      <c r="G181" s="63"/>
      <c r="H181" s="57" t="str">
        <f>IF(D41="","",D41)</f>
        <v>produce</v>
      </c>
      <c r="I181" s="57" t="str">
        <f>IF(AND(EXACT(D8,"Yes"),ISTEXT(D8)),B8,"")</f>
        <v/>
      </c>
      <c r="J181" s="57" t="str">
        <f>IF(AND(EXACT(D8,"Yes"),ISTEXT(D8)),E8,"")</f>
        <v/>
      </c>
      <c r="K181" s="18"/>
      <c r="L181" s="69"/>
    </row>
    <row r="182" spans="1:12" s="70" customFormat="1" ht="22.15" customHeight="1" x14ac:dyDescent="0.2">
      <c r="A182" s="66"/>
      <c r="B182" s="71" t="s">
        <v>114</v>
      </c>
      <c r="C182" s="68"/>
      <c r="D182" s="67">
        <v>2</v>
      </c>
      <c r="E182" s="57" t="s">
        <v>20</v>
      </c>
      <c r="F182" s="56" t="str">
        <f>IF(B40="","",B40)</f>
        <v>Total produced energy</v>
      </c>
      <c r="G182" s="63"/>
      <c r="H182" s="57" t="str">
        <f>IF(D41="","",D41)</f>
        <v>produce</v>
      </c>
      <c r="I182" s="57" t="str">
        <f>IF(AND(EXACT(D9,"Yes"),ISTEXT(D9)),B9,"")</f>
        <v/>
      </c>
      <c r="J182" s="57"/>
      <c r="K182" s="18"/>
      <c r="L182" s="69"/>
    </row>
    <row r="183" spans="1:12" s="64" customFormat="1" ht="22.15" customHeight="1" x14ac:dyDescent="0.2">
      <c r="A183" s="65"/>
      <c r="B183" s="128" t="s">
        <v>72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</row>
    <row r="184" spans="1:12" s="70" customFormat="1" ht="22.15" customHeight="1" x14ac:dyDescent="0.2">
      <c r="A184" s="66"/>
      <c r="B184" s="67">
        <v>1</v>
      </c>
      <c r="C184" s="68"/>
      <c r="D184" s="67">
        <v>1</v>
      </c>
      <c r="E184" s="57" t="s">
        <v>21</v>
      </c>
      <c r="F184" s="57" t="str">
        <f>IF(B40="","",B40)</f>
        <v>Total produced energy</v>
      </c>
      <c r="G184" s="63"/>
      <c r="H184" s="57" t="str">
        <f>IF(D41="","",D41)</f>
        <v>produce</v>
      </c>
      <c r="I184" s="57" t="str">
        <f>IF(AND(EXACT(D8,"Yes"),ISTEXT(D8)),B8,"")</f>
        <v/>
      </c>
      <c r="J184" s="57" t="str">
        <f>IF(AND(EXACT(D8,"Yes"),ISTEXT(D8)),E8,"")</f>
        <v/>
      </c>
      <c r="K184" s="18"/>
      <c r="L184" s="69"/>
    </row>
    <row r="185" spans="1:12" s="70" customFormat="1" ht="22.15" customHeight="1" x14ac:dyDescent="0.2">
      <c r="A185" s="72"/>
      <c r="B185" s="67">
        <v>2</v>
      </c>
      <c r="C185" s="68"/>
      <c r="D185" s="67">
        <v>1</v>
      </c>
      <c r="E185" s="57" t="s">
        <v>22</v>
      </c>
      <c r="F185" s="57" t="str">
        <f>IF(B40="","",B40)</f>
        <v>Total produced energy</v>
      </c>
      <c r="G185" s="63"/>
      <c r="H185" s="57" t="str">
        <f>IF(D41="","",D41)</f>
        <v>produce</v>
      </c>
      <c r="I185" s="57" t="str">
        <f>IF(AND(EXACT(D8,"Yes"),ISTEXT(D8)),B8,"")</f>
        <v/>
      </c>
      <c r="J185" s="57" t="str">
        <f>IF(AND(EXACT(D8,"Yes"),ISTEXT(D8)),E8,"")</f>
        <v/>
      </c>
      <c r="K185" s="18"/>
      <c r="L185" s="69"/>
    </row>
    <row r="186" spans="1:12" s="64" customFormat="1" ht="22.15" customHeight="1" x14ac:dyDescent="0.2">
      <c r="A186" s="65"/>
      <c r="B186" s="128" t="s">
        <v>73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</row>
    <row r="187" spans="1:12" s="70" customFormat="1" ht="22.15" customHeight="1" x14ac:dyDescent="0.2">
      <c r="A187" s="66"/>
      <c r="B187" s="71" t="s">
        <v>113</v>
      </c>
      <c r="C187" s="68"/>
      <c r="D187" s="67">
        <v>1</v>
      </c>
      <c r="E187" s="57" t="s">
        <v>20</v>
      </c>
      <c r="F187" s="56" t="str">
        <f>IF(B43="","",B43)</f>
        <v>Phase A</v>
      </c>
      <c r="G187" s="63"/>
      <c r="H187" s="57" t="str">
        <f>IF(D43="","",D43)</f>
        <v>consume</v>
      </c>
      <c r="I187" s="57" t="str">
        <f>IF(AND(EXACT(D8,"Yes"),ISTEXT(D8)),B8,"")</f>
        <v/>
      </c>
      <c r="J187" s="57" t="str">
        <f>IF(AND(EXACT(D8,"Yes"),ISTEXT(D8)),E8,"")</f>
        <v/>
      </c>
      <c r="K187" s="18"/>
      <c r="L187" s="69"/>
    </row>
    <row r="188" spans="1:12" s="70" customFormat="1" ht="22.15" customHeight="1" x14ac:dyDescent="0.2">
      <c r="A188" s="66"/>
      <c r="B188" s="71" t="s">
        <v>114</v>
      </c>
      <c r="C188" s="68"/>
      <c r="D188" s="67">
        <v>2</v>
      </c>
      <c r="E188" s="57" t="s">
        <v>20</v>
      </c>
      <c r="F188" s="56" t="str">
        <f>IF(B43="","",B43)</f>
        <v>Phase A</v>
      </c>
      <c r="G188" s="63"/>
      <c r="H188" s="57" t="str">
        <f>IF(D43="","",D43)</f>
        <v>consume</v>
      </c>
      <c r="I188" s="57" t="str">
        <f>IF(AND(EXACT(D9,"Yes"),ISTEXT(D9)),B9,"")</f>
        <v/>
      </c>
      <c r="J188" s="57"/>
      <c r="K188" s="18"/>
      <c r="L188" s="69"/>
    </row>
    <row r="189" spans="1:12" s="70" customFormat="1" ht="22.15" customHeight="1" x14ac:dyDescent="0.2">
      <c r="A189" s="66"/>
      <c r="B189" s="71" t="s">
        <v>115</v>
      </c>
      <c r="C189" s="68"/>
      <c r="D189" s="67">
        <v>1</v>
      </c>
      <c r="E189" s="57" t="s">
        <v>20</v>
      </c>
      <c r="F189" s="56" t="str">
        <f>IF(B43="","",B43)</f>
        <v>Phase A</v>
      </c>
      <c r="G189" s="63"/>
      <c r="H189" s="57" t="str">
        <f>IF(D44="","",D44)</f>
        <v>produce</v>
      </c>
      <c r="I189" s="57" t="str">
        <f>IF(AND(EXACT(D8,"Yes"),ISTEXT(D8)),B8,"")</f>
        <v/>
      </c>
      <c r="J189" s="57" t="str">
        <f>IF(AND(EXACT(D8,"Yes"),ISTEXT(D8)),E8,"")</f>
        <v/>
      </c>
      <c r="K189" s="18"/>
      <c r="L189" s="69"/>
    </row>
    <row r="190" spans="1:12" s="70" customFormat="1" ht="22.15" customHeight="1" x14ac:dyDescent="0.2">
      <c r="A190" s="66"/>
      <c r="B190" s="71" t="s">
        <v>116</v>
      </c>
      <c r="C190" s="68"/>
      <c r="D190" s="67">
        <v>2</v>
      </c>
      <c r="E190" s="57" t="s">
        <v>20</v>
      </c>
      <c r="F190" s="56" t="str">
        <f>IF(B43="","",B43)</f>
        <v>Phase A</v>
      </c>
      <c r="G190" s="63"/>
      <c r="H190" s="57" t="str">
        <f>IF(D44="","",D44)</f>
        <v>produce</v>
      </c>
      <c r="I190" s="57" t="str">
        <f>IF(AND(EXACT(D9,"Yes"),ISTEXT(D9)),B9,"")</f>
        <v/>
      </c>
      <c r="J190" s="57"/>
      <c r="K190" s="18"/>
      <c r="L190" s="69"/>
    </row>
    <row r="191" spans="1:12" s="64" customFormat="1" ht="22.15" customHeight="1" x14ac:dyDescent="0.2">
      <c r="A191" s="65"/>
      <c r="B191" s="128" t="s">
        <v>74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</row>
    <row r="192" spans="1:12" s="70" customFormat="1" ht="22.15" customHeight="1" x14ac:dyDescent="0.2">
      <c r="A192" s="66"/>
      <c r="B192" s="67">
        <v>1</v>
      </c>
      <c r="C192" s="68"/>
      <c r="D192" s="67">
        <v>1</v>
      </c>
      <c r="E192" s="57" t="s">
        <v>21</v>
      </c>
      <c r="F192" s="57" t="str">
        <f>IF(B43="","",B43)</f>
        <v>Phase A</v>
      </c>
      <c r="G192" s="63"/>
      <c r="H192" s="57" t="str">
        <f>IF(D43="","",D43)</f>
        <v>consume</v>
      </c>
      <c r="I192" s="57" t="str">
        <f>IF(AND(EXACT(D8,"Yes"),ISTEXT(D8)),B8,"")</f>
        <v/>
      </c>
      <c r="J192" s="57" t="str">
        <f>IF(AND(EXACT(D8,"Yes"),ISTEXT(D8)),E8,"")</f>
        <v/>
      </c>
      <c r="K192" s="18"/>
      <c r="L192" s="69"/>
    </row>
    <row r="193" spans="1:12" s="70" customFormat="1" ht="22.15" customHeight="1" x14ac:dyDescent="0.2">
      <c r="A193" s="66"/>
      <c r="B193" s="67">
        <v>2</v>
      </c>
      <c r="C193" s="68"/>
      <c r="D193" s="67">
        <v>1</v>
      </c>
      <c r="E193" s="57" t="s">
        <v>22</v>
      </c>
      <c r="F193" s="57" t="str">
        <f>IF(B43="","",B43)</f>
        <v>Phase A</v>
      </c>
      <c r="G193" s="63"/>
      <c r="H193" s="57" t="str">
        <f>IF(D43="","",D43)</f>
        <v>consume</v>
      </c>
      <c r="I193" s="57" t="str">
        <f>IF(AND(EXACT(D8,"Yes"),ISTEXT(D8)),B8,"")</f>
        <v/>
      </c>
      <c r="J193" s="57" t="str">
        <f>IF(AND(EXACT(D8,"Yes"),ISTEXT(D8)),E8,"")</f>
        <v/>
      </c>
      <c r="K193" s="18"/>
      <c r="L193" s="69"/>
    </row>
    <row r="194" spans="1:12" s="70" customFormat="1" ht="22.15" customHeight="1" x14ac:dyDescent="0.2">
      <c r="A194" s="66"/>
      <c r="B194" s="67">
        <v>3</v>
      </c>
      <c r="C194" s="68"/>
      <c r="D194" s="67">
        <v>1</v>
      </c>
      <c r="E194" s="57" t="s">
        <v>21</v>
      </c>
      <c r="F194" s="57" t="str">
        <f>IF(B43="","",B43)</f>
        <v>Phase A</v>
      </c>
      <c r="G194" s="63"/>
      <c r="H194" s="57" t="str">
        <f>IF(D44="","",D44)</f>
        <v>produce</v>
      </c>
      <c r="I194" s="57" t="str">
        <f>IF(AND(EXACT(D8,"Yes"),ISTEXT(D8)),B8,"")</f>
        <v/>
      </c>
      <c r="J194" s="57" t="str">
        <f>IF(AND(EXACT(D8,"Yes"),ISTEXT(D8)),E8,"")</f>
        <v/>
      </c>
      <c r="K194" s="18"/>
      <c r="L194" s="69"/>
    </row>
    <row r="195" spans="1:12" s="70" customFormat="1" ht="22.15" customHeight="1" x14ac:dyDescent="0.2">
      <c r="A195" s="66"/>
      <c r="B195" s="67">
        <v>4</v>
      </c>
      <c r="C195" s="68"/>
      <c r="D195" s="67">
        <v>1</v>
      </c>
      <c r="E195" s="57" t="s">
        <v>22</v>
      </c>
      <c r="F195" s="57" t="str">
        <f>IF(B43="","",B43)</f>
        <v>Phase A</v>
      </c>
      <c r="G195" s="63"/>
      <c r="H195" s="57" t="str">
        <f>IF(D44="","",D44)</f>
        <v>produce</v>
      </c>
      <c r="I195" s="57" t="str">
        <f>IF(AND(EXACT(D8,"Yes"),ISTEXT(D8)),B8,"")</f>
        <v/>
      </c>
      <c r="J195" s="57" t="str">
        <f>IF(AND(EXACT(D8,"Yes"),ISTEXT(D8)),E8,"")</f>
        <v/>
      </c>
      <c r="K195" s="18"/>
      <c r="L195" s="69"/>
    </row>
    <row r="196" spans="1:12" s="64" customFormat="1" ht="22.15" customHeight="1" x14ac:dyDescent="0.2">
      <c r="A196" s="65"/>
      <c r="B196" s="128" t="s">
        <v>75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</row>
    <row r="197" spans="1:12" s="70" customFormat="1" ht="22.15" customHeight="1" x14ac:dyDescent="0.2">
      <c r="A197" s="66"/>
      <c r="B197" s="71" t="s">
        <v>113</v>
      </c>
      <c r="C197" s="68"/>
      <c r="D197" s="67">
        <v>1</v>
      </c>
      <c r="E197" s="57" t="s">
        <v>20</v>
      </c>
      <c r="F197" s="56" t="str">
        <f>IF(B45="","",B45)</f>
        <v>Phase B</v>
      </c>
      <c r="G197" s="63"/>
      <c r="H197" s="57" t="str">
        <f>IF(D45="","",D45)</f>
        <v>consume</v>
      </c>
      <c r="I197" s="57" t="str">
        <f>IF(AND(EXACT(D8,"Yes"),ISTEXT(D8)),B8,"")</f>
        <v/>
      </c>
      <c r="J197" s="57" t="str">
        <f>IF(AND(EXACT(D8,"Yes"),ISTEXT(D8)),E8,"")</f>
        <v/>
      </c>
      <c r="K197" s="18"/>
      <c r="L197" s="69"/>
    </row>
    <row r="198" spans="1:12" s="70" customFormat="1" ht="22.15" customHeight="1" x14ac:dyDescent="0.2">
      <c r="A198" s="66"/>
      <c r="B198" s="71" t="s">
        <v>114</v>
      </c>
      <c r="C198" s="68"/>
      <c r="D198" s="67">
        <v>2</v>
      </c>
      <c r="E198" s="57" t="s">
        <v>20</v>
      </c>
      <c r="F198" s="56" t="str">
        <f>IF(B45="","",B45)</f>
        <v>Phase B</v>
      </c>
      <c r="G198" s="63"/>
      <c r="H198" s="57" t="str">
        <f>IF(D45="","",D45)</f>
        <v>consume</v>
      </c>
      <c r="I198" s="57" t="str">
        <f>IF(AND(EXACT(D9,"Yes"),ISTEXT(D9)),B9,"")</f>
        <v/>
      </c>
      <c r="J198" s="57"/>
      <c r="K198" s="18"/>
      <c r="L198" s="69"/>
    </row>
    <row r="199" spans="1:12" s="70" customFormat="1" ht="22.15" customHeight="1" x14ac:dyDescent="0.2">
      <c r="A199" s="66"/>
      <c r="B199" s="71" t="s">
        <v>115</v>
      </c>
      <c r="C199" s="68"/>
      <c r="D199" s="67">
        <v>1</v>
      </c>
      <c r="E199" s="57" t="s">
        <v>20</v>
      </c>
      <c r="F199" s="56" t="str">
        <f>IF(B45="","",B45)</f>
        <v>Phase B</v>
      </c>
      <c r="G199" s="63"/>
      <c r="H199" s="57" t="str">
        <f>IF(D46="","",D46)</f>
        <v>produce</v>
      </c>
      <c r="I199" s="57" t="str">
        <f>IF(AND(EXACT(D8,"Yes"),ISTEXT(D8)),B8,"")</f>
        <v/>
      </c>
      <c r="J199" s="57" t="str">
        <f>IF(AND(EXACT(D8,"Yes"),ISTEXT(D8)),E8,"")</f>
        <v/>
      </c>
      <c r="K199" s="18"/>
      <c r="L199" s="69"/>
    </row>
    <row r="200" spans="1:12" s="70" customFormat="1" ht="22.15" customHeight="1" x14ac:dyDescent="0.2">
      <c r="A200" s="66"/>
      <c r="B200" s="71" t="s">
        <v>116</v>
      </c>
      <c r="C200" s="68"/>
      <c r="D200" s="67">
        <v>2</v>
      </c>
      <c r="E200" s="57" t="s">
        <v>20</v>
      </c>
      <c r="F200" s="56" t="str">
        <f>IF(B45="","",B45)</f>
        <v>Phase B</v>
      </c>
      <c r="G200" s="63"/>
      <c r="H200" s="57" t="str">
        <f>IF(D46="","",D46)</f>
        <v>produce</v>
      </c>
      <c r="I200" s="57" t="str">
        <f>IF(AND(EXACT(D9,"Yes"),ISTEXT(D9)),B9,"")</f>
        <v/>
      </c>
      <c r="J200" s="57"/>
      <c r="K200" s="18"/>
      <c r="L200" s="69"/>
    </row>
    <row r="201" spans="1:12" s="64" customFormat="1" ht="22.15" customHeight="1" x14ac:dyDescent="0.2">
      <c r="A201" s="65"/>
      <c r="B201" s="128" t="s">
        <v>76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</row>
    <row r="202" spans="1:12" s="70" customFormat="1" ht="22.15" customHeight="1" x14ac:dyDescent="0.2">
      <c r="A202" s="66"/>
      <c r="B202" s="67">
        <v>1</v>
      </c>
      <c r="C202" s="68"/>
      <c r="D202" s="67">
        <v>1</v>
      </c>
      <c r="E202" s="57" t="s">
        <v>21</v>
      </c>
      <c r="F202" s="57" t="str">
        <f>IF(B45="","",B45)</f>
        <v>Phase B</v>
      </c>
      <c r="G202" s="63"/>
      <c r="H202" s="57" t="str">
        <f>IF(D45="","",D45)</f>
        <v>consume</v>
      </c>
      <c r="I202" s="57" t="str">
        <f>IF(AND(EXACT(D8,"Yes"),ISTEXT(D8)),B8,"")</f>
        <v/>
      </c>
      <c r="J202" s="57" t="str">
        <f>IF(AND(EXACT(D8,"Yes"),ISTEXT(D8)),E8,"")</f>
        <v/>
      </c>
      <c r="K202" s="18"/>
      <c r="L202" s="69"/>
    </row>
    <row r="203" spans="1:12" s="70" customFormat="1" ht="22.15" customHeight="1" x14ac:dyDescent="0.2">
      <c r="A203" s="66"/>
      <c r="B203" s="67">
        <v>2</v>
      </c>
      <c r="C203" s="68"/>
      <c r="D203" s="67">
        <v>1</v>
      </c>
      <c r="E203" s="57" t="s">
        <v>22</v>
      </c>
      <c r="F203" s="57" t="str">
        <f>IF(B45="","",B45)</f>
        <v>Phase B</v>
      </c>
      <c r="G203" s="63"/>
      <c r="H203" s="57" t="str">
        <f>IF(D45="","",D45)</f>
        <v>consume</v>
      </c>
      <c r="I203" s="57" t="str">
        <f>IF(AND(EXACT(D8,"Yes"),ISTEXT(D8)),B8,"")</f>
        <v/>
      </c>
      <c r="J203" s="57" t="str">
        <f>IF(AND(EXACT(D8,"Yes"),ISTEXT(D8)),E8,"")</f>
        <v/>
      </c>
      <c r="K203" s="18"/>
      <c r="L203" s="69"/>
    </row>
    <row r="204" spans="1:12" s="70" customFormat="1" ht="22.15" customHeight="1" x14ac:dyDescent="0.2">
      <c r="A204" s="66"/>
      <c r="B204" s="67">
        <v>3</v>
      </c>
      <c r="C204" s="68"/>
      <c r="D204" s="67">
        <v>1</v>
      </c>
      <c r="E204" s="57" t="s">
        <v>21</v>
      </c>
      <c r="F204" s="57" t="str">
        <f>IF(B45="","",B45)</f>
        <v>Phase B</v>
      </c>
      <c r="G204" s="63"/>
      <c r="H204" s="57" t="str">
        <f>IF(D46="","",D46)</f>
        <v>produce</v>
      </c>
      <c r="I204" s="57" t="str">
        <f>IF(AND(EXACT(D8,"Yes"),ISTEXT(D8)),B8,"")</f>
        <v/>
      </c>
      <c r="J204" s="57" t="str">
        <f>IF(AND(EXACT(D8,"Yes"),ISTEXT(D8)),E8,"")</f>
        <v/>
      </c>
      <c r="K204" s="18"/>
      <c r="L204" s="69"/>
    </row>
    <row r="205" spans="1:12" s="70" customFormat="1" ht="22.15" customHeight="1" x14ac:dyDescent="0.2">
      <c r="A205" s="66"/>
      <c r="B205" s="67">
        <v>4</v>
      </c>
      <c r="C205" s="68"/>
      <c r="D205" s="67">
        <v>1</v>
      </c>
      <c r="E205" s="57" t="s">
        <v>22</v>
      </c>
      <c r="F205" s="57" t="str">
        <f>IF(B45="","",B45)</f>
        <v>Phase B</v>
      </c>
      <c r="G205" s="63"/>
      <c r="H205" s="57" t="str">
        <f>IF(D46="","",D46)</f>
        <v>produce</v>
      </c>
      <c r="I205" s="57" t="str">
        <f>IF(AND(EXACT(D8,"Yes"),ISTEXT(D8)),B8,"")</f>
        <v/>
      </c>
      <c r="J205" s="57" t="str">
        <f>IF(AND(EXACT(D8,"Yes"),ISTEXT(D8)),E8,"")</f>
        <v/>
      </c>
      <c r="K205" s="18"/>
      <c r="L205" s="69"/>
    </row>
    <row r="206" spans="1:12" s="64" customFormat="1" ht="22.15" customHeight="1" x14ac:dyDescent="0.2">
      <c r="A206" s="65"/>
      <c r="B206" s="128" t="s">
        <v>77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</row>
    <row r="207" spans="1:12" s="70" customFormat="1" ht="22.15" customHeight="1" x14ac:dyDescent="0.2">
      <c r="A207" s="66"/>
      <c r="B207" s="71" t="s">
        <v>113</v>
      </c>
      <c r="C207" s="68"/>
      <c r="D207" s="67">
        <v>1</v>
      </c>
      <c r="E207" s="57" t="s">
        <v>20</v>
      </c>
      <c r="F207" s="56" t="str">
        <f>IF(B47="","",B47)</f>
        <v>Phase C</v>
      </c>
      <c r="G207" s="63"/>
      <c r="H207" s="57" t="str">
        <f>IF(D47="","",D47)</f>
        <v>consume</v>
      </c>
      <c r="I207" s="57" t="str">
        <f>IF(AND(EXACT(D8,"Yes"),ISTEXT(D8)),B8,"")</f>
        <v/>
      </c>
      <c r="J207" s="57" t="str">
        <f>IF(AND(EXACT(D8,"Yes"),ISTEXT(D8)),E8,"")</f>
        <v/>
      </c>
      <c r="K207" s="18"/>
      <c r="L207" s="69"/>
    </row>
    <row r="208" spans="1:12" s="70" customFormat="1" ht="22.15" customHeight="1" x14ac:dyDescent="0.2">
      <c r="A208" s="66"/>
      <c r="B208" s="71" t="s">
        <v>114</v>
      </c>
      <c r="C208" s="68"/>
      <c r="D208" s="67">
        <v>2</v>
      </c>
      <c r="E208" s="57" t="s">
        <v>20</v>
      </c>
      <c r="F208" s="56" t="str">
        <f>IF(B47="","",B47)</f>
        <v>Phase C</v>
      </c>
      <c r="G208" s="63"/>
      <c r="H208" s="57" t="str">
        <f>IF(D47="","",D47)</f>
        <v>consume</v>
      </c>
      <c r="I208" s="57" t="str">
        <f>IF(AND(EXACT(D9,"Yes"),ISTEXT(D9)),B9,"")</f>
        <v/>
      </c>
      <c r="J208" s="57"/>
      <c r="K208" s="18"/>
      <c r="L208" s="69"/>
    </row>
    <row r="209" spans="1:12" s="70" customFormat="1" ht="22.15" customHeight="1" x14ac:dyDescent="0.2">
      <c r="A209" s="66"/>
      <c r="B209" s="71" t="s">
        <v>115</v>
      </c>
      <c r="C209" s="68"/>
      <c r="D209" s="67">
        <v>1</v>
      </c>
      <c r="E209" s="57" t="s">
        <v>20</v>
      </c>
      <c r="F209" s="56" t="str">
        <f>IF(B47="","",B47)</f>
        <v>Phase C</v>
      </c>
      <c r="G209" s="63"/>
      <c r="H209" s="57" t="str">
        <f>IF(D48="","",D48)</f>
        <v>produce</v>
      </c>
      <c r="I209" s="57" t="str">
        <f>IF(AND(EXACT(D8,"Yes"),ISTEXT(D8)),B8,"")</f>
        <v/>
      </c>
      <c r="J209" s="57" t="str">
        <f>IF(AND(EXACT(D8,"Yes"),ISTEXT(D8)),E8,"")</f>
        <v/>
      </c>
      <c r="K209" s="18"/>
      <c r="L209" s="69"/>
    </row>
    <row r="210" spans="1:12" s="70" customFormat="1" ht="22.15" customHeight="1" x14ac:dyDescent="0.2">
      <c r="A210" s="66"/>
      <c r="B210" s="71" t="s">
        <v>116</v>
      </c>
      <c r="C210" s="68"/>
      <c r="D210" s="67">
        <v>2</v>
      </c>
      <c r="E210" s="57" t="s">
        <v>20</v>
      </c>
      <c r="F210" s="56" t="str">
        <f>IF(B47="","",B47)</f>
        <v>Phase C</v>
      </c>
      <c r="G210" s="63"/>
      <c r="H210" s="57" t="str">
        <f>IF(D48="","",D48)</f>
        <v>produce</v>
      </c>
      <c r="I210" s="57" t="str">
        <f>IF(AND(EXACT(D9,"Yes"),ISTEXT(D9)),B9,"")</f>
        <v/>
      </c>
      <c r="J210" s="57"/>
      <c r="K210" s="18"/>
      <c r="L210" s="69"/>
    </row>
    <row r="211" spans="1:12" s="64" customFormat="1" ht="22.15" customHeight="1" x14ac:dyDescent="0.2">
      <c r="A211" s="65"/>
      <c r="B211" s="128" t="s">
        <v>78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</row>
    <row r="212" spans="1:12" s="70" customFormat="1" ht="22.15" customHeight="1" x14ac:dyDescent="0.2">
      <c r="A212" s="66"/>
      <c r="B212" s="67">
        <v>1</v>
      </c>
      <c r="C212" s="68"/>
      <c r="D212" s="67">
        <v>1</v>
      </c>
      <c r="E212" s="57" t="s">
        <v>21</v>
      </c>
      <c r="F212" s="57" t="str">
        <f>IF(B47="","",B47)</f>
        <v>Phase C</v>
      </c>
      <c r="G212" s="63"/>
      <c r="H212" s="57" t="str">
        <f>IF(D47="","",D47)</f>
        <v>consume</v>
      </c>
      <c r="I212" s="57" t="str">
        <f>IF(AND(EXACT(D8,"Yes"),ISTEXT(D8)),B8,"")</f>
        <v/>
      </c>
      <c r="J212" s="57" t="str">
        <f>IF(AND(EXACT(D8,"Yes"),ISTEXT(D8)),E8,"")</f>
        <v/>
      </c>
      <c r="K212" s="18"/>
      <c r="L212" s="69"/>
    </row>
    <row r="213" spans="1:12" s="70" customFormat="1" ht="22.15" customHeight="1" x14ac:dyDescent="0.2">
      <c r="A213" s="66"/>
      <c r="B213" s="67">
        <v>2</v>
      </c>
      <c r="C213" s="68"/>
      <c r="D213" s="67">
        <v>1</v>
      </c>
      <c r="E213" s="57" t="s">
        <v>22</v>
      </c>
      <c r="F213" s="57" t="str">
        <f>IF(B47="","",B47)</f>
        <v>Phase C</v>
      </c>
      <c r="G213" s="63"/>
      <c r="H213" s="57" t="str">
        <f>IF(D47="","",D47)</f>
        <v>consume</v>
      </c>
      <c r="I213" s="57" t="str">
        <f>IF(AND(EXACT(D8,"Yes"),ISTEXT(D8)),B8,"")</f>
        <v/>
      </c>
      <c r="J213" s="57" t="str">
        <f>IF(AND(EXACT(D8,"Yes"),ISTEXT(D8)),E8,"")</f>
        <v/>
      </c>
      <c r="K213" s="18"/>
      <c r="L213" s="69"/>
    </row>
    <row r="214" spans="1:12" s="70" customFormat="1" ht="22.15" customHeight="1" x14ac:dyDescent="0.2">
      <c r="A214" s="66"/>
      <c r="B214" s="67">
        <v>3</v>
      </c>
      <c r="C214" s="68"/>
      <c r="D214" s="67">
        <v>1</v>
      </c>
      <c r="E214" s="57" t="s">
        <v>21</v>
      </c>
      <c r="F214" s="57" t="str">
        <f>IF(B47="","",B47)</f>
        <v>Phase C</v>
      </c>
      <c r="G214" s="63"/>
      <c r="H214" s="57" t="str">
        <f>IF(D48="","",D48)</f>
        <v>produce</v>
      </c>
      <c r="I214" s="57" t="str">
        <f>IF(AND(EXACT(D8,"Yes"),ISTEXT(D8)),B8,"")</f>
        <v/>
      </c>
      <c r="J214" s="57" t="str">
        <f>IF(AND(EXACT(D8,"Yes"),ISTEXT(D8)),E8,"")</f>
        <v/>
      </c>
      <c r="K214" s="18"/>
      <c r="L214" s="69"/>
    </row>
    <row r="215" spans="1:12" s="70" customFormat="1" ht="22.15" customHeight="1" x14ac:dyDescent="0.2">
      <c r="A215" s="66"/>
      <c r="B215" s="67">
        <v>4</v>
      </c>
      <c r="C215" s="68"/>
      <c r="D215" s="67">
        <v>1</v>
      </c>
      <c r="E215" s="57" t="s">
        <v>22</v>
      </c>
      <c r="F215" s="57" t="str">
        <f>IF(B47="","",B47)</f>
        <v>Phase C</v>
      </c>
      <c r="G215" s="63"/>
      <c r="H215" s="57" t="str">
        <f>IF(D48="","",D48)</f>
        <v>produce</v>
      </c>
      <c r="I215" s="57" t="str">
        <f>IF(AND(EXACT(D8,"Yes"),ISTEXT(D8)),B8,"")</f>
        <v/>
      </c>
      <c r="J215" s="57" t="str">
        <f>IF(AND(EXACT(D8,"Yes"),ISTEXT(D8)),E8,"")</f>
        <v/>
      </c>
      <c r="K215" s="18"/>
      <c r="L215" s="69"/>
    </row>
    <row r="216" spans="1:12" s="64" customFormat="1" ht="22.15" customHeight="1" x14ac:dyDescent="0.2">
      <c r="A216" s="65"/>
      <c r="B216" s="128" t="s">
        <v>79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</row>
    <row r="217" spans="1:12" s="70" customFormat="1" ht="22.15" customHeight="1" x14ac:dyDescent="0.2">
      <c r="A217" s="66"/>
      <c r="B217" s="71" t="s">
        <v>113</v>
      </c>
      <c r="C217" s="68"/>
      <c r="D217" s="67">
        <v>1</v>
      </c>
      <c r="E217" s="57" t="s">
        <v>20</v>
      </c>
      <c r="F217" s="56" t="str">
        <f>IF(B50="","",B50)</f>
        <v>Phase A / neutral</v>
      </c>
      <c r="G217" s="63"/>
      <c r="H217" s="57" t="str">
        <f>IF(D50="","",D50)</f>
        <v>any</v>
      </c>
      <c r="I217" s="57" t="str">
        <f>IF(AND(EXACT(D8,"Yes"),ISTEXT(D8)),B8,"")</f>
        <v/>
      </c>
      <c r="J217" s="57" t="str">
        <f>IF(AND(EXACT(D8,"Yes"),ISTEXT(D8)),E8,"")</f>
        <v/>
      </c>
      <c r="K217" s="18"/>
      <c r="L217" s="69"/>
    </row>
    <row r="218" spans="1:12" s="70" customFormat="1" ht="22.15" customHeight="1" x14ac:dyDescent="0.2">
      <c r="A218" s="66"/>
      <c r="B218" s="71" t="s">
        <v>114</v>
      </c>
      <c r="C218" s="68"/>
      <c r="D218" s="67">
        <v>2</v>
      </c>
      <c r="E218" s="57" t="s">
        <v>20</v>
      </c>
      <c r="F218" s="56" t="str">
        <f>IF(B50="","",B50)</f>
        <v>Phase A / neutral</v>
      </c>
      <c r="G218" s="63"/>
      <c r="H218" s="57" t="str">
        <f>IF(D50="","",D50)</f>
        <v>any</v>
      </c>
      <c r="I218" s="57" t="str">
        <f>IF(AND(EXACT(D9,"Yes"),ISTEXT(D9)),B9,"")</f>
        <v/>
      </c>
      <c r="J218" s="57"/>
      <c r="K218" s="18"/>
      <c r="L218" s="69"/>
    </row>
    <row r="219" spans="1:12" s="64" customFormat="1" ht="22.15" customHeight="1" x14ac:dyDescent="0.2">
      <c r="A219" s="65"/>
      <c r="B219" s="128" t="s">
        <v>80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</row>
    <row r="220" spans="1:12" s="70" customFormat="1" ht="22.15" customHeight="1" x14ac:dyDescent="0.2">
      <c r="A220" s="66"/>
      <c r="B220" s="67">
        <v>1</v>
      </c>
      <c r="C220" s="68"/>
      <c r="D220" s="67">
        <v>1</v>
      </c>
      <c r="E220" s="57" t="s">
        <v>21</v>
      </c>
      <c r="F220" s="57" t="str">
        <f>IF(B50="","",B50)</f>
        <v>Phase A / neutral</v>
      </c>
      <c r="G220" s="18"/>
      <c r="H220" s="57" t="str">
        <f>IF(D50="","",D50)</f>
        <v>any</v>
      </c>
      <c r="I220" s="57" t="str">
        <f>IF(AND(EXACT(D8,"Yes"),ISTEXT(D8)),B8,"")</f>
        <v/>
      </c>
      <c r="J220" s="57" t="str">
        <f>IF(AND(EXACT(D8,"Yes"),ISTEXT(D8)),E8,"")</f>
        <v/>
      </c>
      <c r="K220" s="18"/>
      <c r="L220" s="69"/>
    </row>
    <row r="221" spans="1:12" s="70" customFormat="1" ht="22.15" customHeight="1" x14ac:dyDescent="0.2">
      <c r="A221" s="66"/>
      <c r="B221" s="67">
        <v>2</v>
      </c>
      <c r="C221" s="68"/>
      <c r="D221" s="67">
        <v>1</v>
      </c>
      <c r="E221" s="57" t="s">
        <v>22</v>
      </c>
      <c r="F221" s="57" t="str">
        <f>IF(B50="","",B50)</f>
        <v>Phase A / neutral</v>
      </c>
      <c r="G221" s="18"/>
      <c r="H221" s="57" t="str">
        <f>IF(D50="","",D50)</f>
        <v>any</v>
      </c>
      <c r="I221" s="57" t="str">
        <f>IF(AND(EXACT(D8,"Yes"),ISTEXT(D8)),B8,"")</f>
        <v/>
      </c>
      <c r="J221" s="57" t="str">
        <f>IF(AND(EXACT(D8,"Yes"),ISTEXT(D8)),E8,"")</f>
        <v/>
      </c>
      <c r="K221" s="18"/>
      <c r="L221" s="69"/>
    </row>
    <row r="222" spans="1:12" s="64" customFormat="1" ht="22.15" customHeight="1" x14ac:dyDescent="0.2">
      <c r="A222" s="65"/>
      <c r="B222" s="128" t="s">
        <v>81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</row>
    <row r="223" spans="1:12" s="70" customFormat="1" ht="22.15" customHeight="1" x14ac:dyDescent="0.2">
      <c r="A223" s="66"/>
      <c r="B223" s="71" t="s">
        <v>113</v>
      </c>
      <c r="C223" s="68"/>
      <c r="D223" s="67">
        <v>1</v>
      </c>
      <c r="E223" s="57" t="s">
        <v>20</v>
      </c>
      <c r="F223" s="56" t="str">
        <f>IF(B51="","",B51)</f>
        <v>Phase B / neutral</v>
      </c>
      <c r="G223" s="63"/>
      <c r="H223" s="57" t="str">
        <f>IF(D51="","",D51)</f>
        <v>any</v>
      </c>
      <c r="I223" s="57" t="str">
        <f>IF(AND(EXACT(D8,"Yes"),ISTEXT(D8)),B8,"")</f>
        <v/>
      </c>
      <c r="J223" s="57" t="str">
        <f>IF(AND(EXACT(D8,"Yes"),ISTEXT(D8)),E8,"")</f>
        <v/>
      </c>
      <c r="K223" s="18"/>
      <c r="L223" s="69"/>
    </row>
    <row r="224" spans="1:12" s="70" customFormat="1" ht="22.15" customHeight="1" x14ac:dyDescent="0.2">
      <c r="A224" s="66"/>
      <c r="B224" s="71" t="s">
        <v>114</v>
      </c>
      <c r="C224" s="68"/>
      <c r="D224" s="67">
        <v>2</v>
      </c>
      <c r="E224" s="57" t="s">
        <v>20</v>
      </c>
      <c r="F224" s="56" t="str">
        <f>IF(B51="","",B51)</f>
        <v>Phase B / neutral</v>
      </c>
      <c r="G224" s="63"/>
      <c r="H224" s="57" t="str">
        <f>IF(D51="","",D51)</f>
        <v>any</v>
      </c>
      <c r="I224" s="57" t="str">
        <f>IF(AND(EXACT(D9,"Yes"),ISTEXT(D9)),B9,"")</f>
        <v/>
      </c>
      <c r="J224" s="57"/>
      <c r="K224" s="18"/>
      <c r="L224" s="69"/>
    </row>
    <row r="225" spans="1:12" s="64" customFormat="1" ht="22.15" customHeight="1" x14ac:dyDescent="0.2">
      <c r="A225" s="65"/>
      <c r="B225" s="128" t="s">
        <v>82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</row>
    <row r="226" spans="1:12" s="70" customFormat="1" ht="22.15" customHeight="1" x14ac:dyDescent="0.2">
      <c r="A226" s="66"/>
      <c r="B226" s="67">
        <v>1</v>
      </c>
      <c r="C226" s="68"/>
      <c r="D226" s="67">
        <v>1</v>
      </c>
      <c r="E226" s="57" t="s">
        <v>21</v>
      </c>
      <c r="F226" s="57" t="str">
        <f>IF(B51="","",B51)</f>
        <v>Phase B / neutral</v>
      </c>
      <c r="G226" s="18"/>
      <c r="H226" s="57" t="str">
        <f>IF(D51="","",D51)</f>
        <v>any</v>
      </c>
      <c r="I226" s="57" t="str">
        <f>IF(AND(EXACT(D8,"Yes"),ISTEXT(D8)),B8,"")</f>
        <v/>
      </c>
      <c r="J226" s="57" t="str">
        <f>IF(AND(EXACT(D8,"Yes"),ISTEXT(D8)),E8,"")</f>
        <v/>
      </c>
      <c r="K226" s="18"/>
      <c r="L226" s="69"/>
    </row>
    <row r="227" spans="1:12" s="70" customFormat="1" ht="22.15" customHeight="1" x14ac:dyDescent="0.2">
      <c r="A227" s="66"/>
      <c r="B227" s="67">
        <v>2</v>
      </c>
      <c r="C227" s="68"/>
      <c r="D227" s="67">
        <v>1</v>
      </c>
      <c r="E227" s="57" t="s">
        <v>22</v>
      </c>
      <c r="F227" s="57" t="str">
        <f>IF(B51="","",B51)</f>
        <v>Phase B / neutral</v>
      </c>
      <c r="G227" s="18"/>
      <c r="H227" s="57" t="str">
        <f>IF(D51="","",D51)</f>
        <v>any</v>
      </c>
      <c r="I227" s="57" t="str">
        <f>IF(AND(EXACT(D8,"Yes"),ISTEXT(D8)),B8,"")</f>
        <v/>
      </c>
      <c r="J227" s="57" t="str">
        <f>IF(AND(EXACT(D8,"Yes"),ISTEXT(D8)),E8,"")</f>
        <v/>
      </c>
      <c r="K227" s="18"/>
      <c r="L227" s="69"/>
    </row>
    <row r="228" spans="1:12" s="64" customFormat="1" ht="22.15" customHeight="1" x14ac:dyDescent="0.2">
      <c r="A228" s="65"/>
      <c r="B228" s="128" t="s">
        <v>83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</row>
    <row r="229" spans="1:12" s="70" customFormat="1" ht="22.15" customHeight="1" x14ac:dyDescent="0.2">
      <c r="A229" s="66"/>
      <c r="B229" s="71" t="s">
        <v>113</v>
      </c>
      <c r="C229" s="68"/>
      <c r="D229" s="67">
        <v>1</v>
      </c>
      <c r="E229" s="57" t="s">
        <v>20</v>
      </c>
      <c r="F229" s="56" t="str">
        <f>IF(B52="","",B52)</f>
        <v>Phase C / neutral</v>
      </c>
      <c r="G229" s="63"/>
      <c r="H229" s="57" t="str">
        <f>IF(D52="","",D52)</f>
        <v>any</v>
      </c>
      <c r="I229" s="57" t="str">
        <f>IF(AND(EXACT(D8,"Yes"),ISTEXT(D8)),B8,"")</f>
        <v/>
      </c>
      <c r="J229" s="57" t="str">
        <f>IF(AND(EXACT(D8,"Yes"),ISTEXT(D8)),E8,"")</f>
        <v/>
      </c>
      <c r="K229" s="18"/>
      <c r="L229" s="69"/>
    </row>
    <row r="230" spans="1:12" s="70" customFormat="1" ht="22.15" customHeight="1" x14ac:dyDescent="0.2">
      <c r="A230" s="66"/>
      <c r="B230" s="71" t="s">
        <v>114</v>
      </c>
      <c r="C230" s="68"/>
      <c r="D230" s="67">
        <v>2</v>
      </c>
      <c r="E230" s="57" t="s">
        <v>20</v>
      </c>
      <c r="F230" s="56" t="str">
        <f>IF(B52="","",B52)</f>
        <v>Phase C / neutral</v>
      </c>
      <c r="G230" s="63"/>
      <c r="H230" s="57" t="str">
        <f>IF(D52="","",D52)</f>
        <v>any</v>
      </c>
      <c r="I230" s="57" t="str">
        <f>IF(AND(EXACT(D9,"Yes"),ISTEXT(D9)),B9,"")</f>
        <v/>
      </c>
      <c r="J230" s="57"/>
      <c r="K230" s="18"/>
      <c r="L230" s="69"/>
    </row>
    <row r="231" spans="1:12" s="64" customFormat="1" ht="22.15" customHeight="1" x14ac:dyDescent="0.2">
      <c r="A231" s="65"/>
      <c r="B231" s="128" t="s">
        <v>84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</row>
    <row r="232" spans="1:12" s="70" customFormat="1" ht="22.15" customHeight="1" x14ac:dyDescent="0.2">
      <c r="A232" s="66"/>
      <c r="B232" s="67">
        <v>1</v>
      </c>
      <c r="C232" s="68"/>
      <c r="D232" s="67">
        <v>1</v>
      </c>
      <c r="E232" s="57" t="s">
        <v>21</v>
      </c>
      <c r="F232" s="57" t="str">
        <f>IF(B52="","",B52)</f>
        <v>Phase C / neutral</v>
      </c>
      <c r="G232" s="18"/>
      <c r="H232" s="57" t="str">
        <f>IF(D52="","",D52)</f>
        <v>any</v>
      </c>
      <c r="I232" s="57" t="str">
        <f>IF(AND(EXACT(D8,"Yes"),ISTEXT(D8)),B8,"")</f>
        <v/>
      </c>
      <c r="J232" s="57" t="str">
        <f>IF(AND(EXACT(D8,"Yes"),ISTEXT(D8)),E8,"")</f>
        <v/>
      </c>
      <c r="K232" s="18"/>
      <c r="L232" s="69"/>
    </row>
    <row r="233" spans="1:12" s="70" customFormat="1" ht="22.15" customHeight="1" x14ac:dyDescent="0.2">
      <c r="A233" s="66"/>
      <c r="B233" s="67">
        <v>2</v>
      </c>
      <c r="C233" s="68"/>
      <c r="D233" s="67">
        <v>1</v>
      </c>
      <c r="E233" s="57" t="s">
        <v>22</v>
      </c>
      <c r="F233" s="57" t="str">
        <f>IF(B52="","",B52)</f>
        <v>Phase C / neutral</v>
      </c>
      <c r="G233" s="18"/>
      <c r="H233" s="57" t="str">
        <f>IF(D52="","",D52)</f>
        <v>any</v>
      </c>
      <c r="I233" s="57" t="str">
        <f>IF(AND(EXACT(D8,"Yes"),ISTEXT(D8)),B8,"")</f>
        <v/>
      </c>
      <c r="J233" s="57" t="str">
        <f>IF(AND(EXACT(D8,"Yes"),ISTEXT(D8)),E8,"")</f>
        <v/>
      </c>
      <c r="K233" s="18"/>
      <c r="L233" s="69"/>
    </row>
    <row r="234" spans="1:12" s="64" customFormat="1" ht="22.15" customHeight="1" x14ac:dyDescent="0.2">
      <c r="A234" s="65"/>
      <c r="B234" s="128" t="s">
        <v>85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</row>
    <row r="235" spans="1:12" s="70" customFormat="1" ht="22.15" customHeight="1" x14ac:dyDescent="0.2">
      <c r="A235" s="66"/>
      <c r="B235" s="71" t="s">
        <v>113</v>
      </c>
      <c r="C235" s="68"/>
      <c r="D235" s="67">
        <v>1</v>
      </c>
      <c r="E235" s="57" t="s">
        <v>20</v>
      </c>
      <c r="F235" s="56" t="str">
        <f>IF(B53="","",B53)</f>
        <v>Phase A / Phase B</v>
      </c>
      <c r="G235" s="63"/>
      <c r="H235" s="57" t="str">
        <f>IF(D53="","",D53)</f>
        <v>any</v>
      </c>
      <c r="I235" s="57" t="str">
        <f>IF(AND(EXACT(D8,"Yes"),ISTEXT(D8)),B8,"")</f>
        <v/>
      </c>
      <c r="J235" s="57" t="str">
        <f>IF(AND(EXACT(D8,"Yes"),ISTEXT(D8)),E8,"")</f>
        <v/>
      </c>
      <c r="K235" s="18"/>
      <c r="L235" s="69"/>
    </row>
    <row r="236" spans="1:12" s="70" customFormat="1" ht="22.15" customHeight="1" x14ac:dyDescent="0.2">
      <c r="A236" s="66"/>
      <c r="B236" s="71" t="s">
        <v>114</v>
      </c>
      <c r="C236" s="68"/>
      <c r="D236" s="67">
        <v>2</v>
      </c>
      <c r="E236" s="57" t="s">
        <v>20</v>
      </c>
      <c r="F236" s="56" t="str">
        <f>IF(B53="","",B53)</f>
        <v>Phase A / Phase B</v>
      </c>
      <c r="G236" s="63"/>
      <c r="H236" s="57" t="str">
        <f>IF(D53="","",D53)</f>
        <v>any</v>
      </c>
      <c r="I236" s="57" t="str">
        <f>IF(AND(EXACT(D9,"Yes"),ISTEXT(D9)),B9,"")</f>
        <v/>
      </c>
      <c r="J236" s="57"/>
      <c r="K236" s="18"/>
      <c r="L236" s="69"/>
    </row>
    <row r="237" spans="1:12" s="64" customFormat="1" ht="22.15" customHeight="1" x14ac:dyDescent="0.2">
      <c r="A237" s="65"/>
      <c r="B237" s="128" t="s">
        <v>86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</row>
    <row r="238" spans="1:12" s="70" customFormat="1" ht="22.15" customHeight="1" x14ac:dyDescent="0.2">
      <c r="A238" s="66"/>
      <c r="B238" s="67">
        <v>1</v>
      </c>
      <c r="C238" s="68"/>
      <c r="D238" s="67">
        <v>1</v>
      </c>
      <c r="E238" s="57" t="s">
        <v>21</v>
      </c>
      <c r="F238" s="57" t="str">
        <f>IF(B53="","",B53)</f>
        <v>Phase A / Phase B</v>
      </c>
      <c r="G238" s="18"/>
      <c r="H238" s="57" t="str">
        <f>IF(D53="","",D53)</f>
        <v>any</v>
      </c>
      <c r="I238" s="57" t="str">
        <f>IF(AND(EXACT(D8,"Yes"),ISTEXT(D8)),B8,"")</f>
        <v/>
      </c>
      <c r="J238" s="57" t="str">
        <f>IF(AND(EXACT(D8,"Yes"),ISTEXT(D8)),E8,"")</f>
        <v/>
      </c>
      <c r="K238" s="18"/>
      <c r="L238" s="69"/>
    </row>
    <row r="239" spans="1:12" s="70" customFormat="1" ht="22.15" customHeight="1" x14ac:dyDescent="0.2">
      <c r="A239" s="66"/>
      <c r="B239" s="67">
        <v>2</v>
      </c>
      <c r="C239" s="68"/>
      <c r="D239" s="67">
        <v>1</v>
      </c>
      <c r="E239" s="57" t="s">
        <v>22</v>
      </c>
      <c r="F239" s="57" t="str">
        <f>IF(B53="","",B53)</f>
        <v>Phase A / Phase B</v>
      </c>
      <c r="G239" s="18"/>
      <c r="H239" s="57" t="str">
        <f>IF(D53="","",D53)</f>
        <v>any</v>
      </c>
      <c r="I239" s="57" t="str">
        <f>IF(AND(EXACT(D8,"Yes"),ISTEXT(D8)),B8,"")</f>
        <v/>
      </c>
      <c r="J239" s="57" t="str">
        <f>IF(AND(EXACT(D8,"Yes"),ISTEXT(D8)),E8,"")</f>
        <v/>
      </c>
      <c r="K239" s="18"/>
      <c r="L239" s="69"/>
    </row>
    <row r="240" spans="1:12" s="64" customFormat="1" ht="22.15" customHeight="1" x14ac:dyDescent="0.2">
      <c r="A240" s="65"/>
      <c r="B240" s="128" t="s">
        <v>87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</row>
    <row r="241" spans="1:12" s="70" customFormat="1" ht="22.15" customHeight="1" x14ac:dyDescent="0.2">
      <c r="A241" s="66"/>
      <c r="B241" s="71" t="s">
        <v>113</v>
      </c>
      <c r="C241" s="68"/>
      <c r="D241" s="67">
        <v>1</v>
      </c>
      <c r="E241" s="57" t="s">
        <v>20</v>
      </c>
      <c r="F241" s="56" t="str">
        <f>IF(B54="","",B54)</f>
        <v>Phase B / Phase C</v>
      </c>
      <c r="G241" s="63"/>
      <c r="H241" s="57" t="str">
        <f>IF(D54="","",D54)</f>
        <v>any</v>
      </c>
      <c r="I241" s="57" t="str">
        <f>IF(AND(EXACT(D8,"Yes"),ISTEXT(D8)),B8,"")</f>
        <v/>
      </c>
      <c r="J241" s="57" t="str">
        <f>IF(AND(EXACT(D8,"Yes"),ISTEXT(D8)),E8,"")</f>
        <v/>
      </c>
      <c r="K241" s="18"/>
      <c r="L241" s="69"/>
    </row>
    <row r="242" spans="1:12" s="70" customFormat="1" ht="22.15" customHeight="1" x14ac:dyDescent="0.2">
      <c r="A242" s="66"/>
      <c r="B242" s="71" t="s">
        <v>114</v>
      </c>
      <c r="C242" s="68"/>
      <c r="D242" s="67">
        <v>2</v>
      </c>
      <c r="E242" s="57" t="s">
        <v>20</v>
      </c>
      <c r="F242" s="56" t="str">
        <f>IF(B54="","",B54)</f>
        <v>Phase B / Phase C</v>
      </c>
      <c r="G242" s="63"/>
      <c r="H242" s="57" t="str">
        <f>IF(D54="","",D54)</f>
        <v>any</v>
      </c>
      <c r="I242" s="57" t="str">
        <f>IF(AND(EXACT(D9,"Yes"),ISTEXT(D9)),B9,"")</f>
        <v/>
      </c>
      <c r="J242" s="57"/>
      <c r="K242" s="18"/>
      <c r="L242" s="69"/>
    </row>
    <row r="243" spans="1:12" s="64" customFormat="1" ht="22.15" customHeight="1" x14ac:dyDescent="0.2">
      <c r="A243" s="65"/>
      <c r="B243" s="128" t="s">
        <v>88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</row>
    <row r="244" spans="1:12" s="70" customFormat="1" ht="22.15" customHeight="1" x14ac:dyDescent="0.2">
      <c r="A244" s="66"/>
      <c r="B244" s="67">
        <v>1</v>
      </c>
      <c r="C244" s="68"/>
      <c r="D244" s="67">
        <v>1</v>
      </c>
      <c r="E244" s="57" t="s">
        <v>21</v>
      </c>
      <c r="F244" s="57" t="str">
        <f>IF(B54="","",B54)</f>
        <v>Phase B / Phase C</v>
      </c>
      <c r="G244" s="18"/>
      <c r="H244" s="57" t="str">
        <f>IF(D54="","",D54)</f>
        <v>any</v>
      </c>
      <c r="I244" s="57" t="str">
        <f>IF(AND(EXACT(D8,"Yes"),ISTEXT(D8)),B8,"")</f>
        <v/>
      </c>
      <c r="J244" s="57" t="str">
        <f>IF(AND(EXACT(D8,"Yes"),ISTEXT(D8)),E8,"")</f>
        <v/>
      </c>
      <c r="K244" s="18"/>
      <c r="L244" s="69"/>
    </row>
    <row r="245" spans="1:12" s="70" customFormat="1" ht="22.15" customHeight="1" x14ac:dyDescent="0.2">
      <c r="A245" s="66"/>
      <c r="B245" s="67">
        <v>2</v>
      </c>
      <c r="C245" s="68"/>
      <c r="D245" s="67">
        <v>1</v>
      </c>
      <c r="E245" s="57" t="s">
        <v>22</v>
      </c>
      <c r="F245" s="57" t="str">
        <f>IF(B54="","",B54)</f>
        <v>Phase B / Phase C</v>
      </c>
      <c r="G245" s="18"/>
      <c r="H245" s="57" t="str">
        <f>IF(D54="","",D54)</f>
        <v>any</v>
      </c>
      <c r="I245" s="57" t="str">
        <f>IF(AND(EXACT(D8,"Yes"),ISTEXT(D8)),B8,"")</f>
        <v/>
      </c>
      <c r="J245" s="57" t="str">
        <f>IF(AND(EXACT(D8,"Yes"),ISTEXT(D8)),E8,"")</f>
        <v/>
      </c>
      <c r="K245" s="18"/>
      <c r="L245" s="69"/>
    </row>
    <row r="246" spans="1:12" s="64" customFormat="1" ht="22.15" customHeight="1" x14ac:dyDescent="0.2">
      <c r="A246" s="65"/>
      <c r="B246" s="128" t="s">
        <v>89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</row>
    <row r="247" spans="1:12" s="70" customFormat="1" ht="22.15" customHeight="1" x14ac:dyDescent="0.2">
      <c r="A247" s="66"/>
      <c r="B247" s="71" t="s">
        <v>113</v>
      </c>
      <c r="C247" s="68"/>
      <c r="D247" s="67">
        <v>1</v>
      </c>
      <c r="E247" s="57" t="s">
        <v>20</v>
      </c>
      <c r="F247" s="56" t="str">
        <f>IF(B55="","",B55)</f>
        <v>Phase C / Phase A</v>
      </c>
      <c r="G247" s="63"/>
      <c r="H247" s="57" t="str">
        <f>IF(D55="","",D55)</f>
        <v>any</v>
      </c>
      <c r="I247" s="57" t="str">
        <f>IF(AND(EXACT(D8,"Yes"),ISTEXT(D8)),B8,"")</f>
        <v/>
      </c>
      <c r="J247" s="57" t="str">
        <f>IF(AND(EXACT(D8,"Yes"),ISTEXT(D8)),E8,"")</f>
        <v/>
      </c>
      <c r="K247" s="18"/>
      <c r="L247" s="69"/>
    </row>
    <row r="248" spans="1:12" s="70" customFormat="1" ht="22.15" customHeight="1" x14ac:dyDescent="0.2">
      <c r="A248" s="66"/>
      <c r="B248" s="71" t="s">
        <v>114</v>
      </c>
      <c r="C248" s="68"/>
      <c r="D248" s="67">
        <v>2</v>
      </c>
      <c r="E248" s="57" t="s">
        <v>20</v>
      </c>
      <c r="F248" s="56" t="str">
        <f>IF(B55="","",B55)</f>
        <v>Phase C / Phase A</v>
      </c>
      <c r="G248" s="63"/>
      <c r="H248" s="57" t="str">
        <f>IF(D55="","",D55)</f>
        <v>any</v>
      </c>
      <c r="I248" s="57" t="str">
        <f>IF(AND(EXACT(D9,"Yes"),ISTEXT(D9)),B9,"")</f>
        <v/>
      </c>
      <c r="J248" s="57"/>
      <c r="K248" s="18"/>
      <c r="L248" s="69"/>
    </row>
    <row r="249" spans="1:12" s="64" customFormat="1" ht="22.15" customHeight="1" x14ac:dyDescent="0.2">
      <c r="A249" s="65"/>
      <c r="B249" s="128" t="s">
        <v>90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</row>
    <row r="250" spans="1:12" s="70" customFormat="1" ht="22.15" customHeight="1" x14ac:dyDescent="0.2">
      <c r="A250" s="66"/>
      <c r="B250" s="67">
        <v>1</v>
      </c>
      <c r="C250" s="68"/>
      <c r="D250" s="67">
        <v>1</v>
      </c>
      <c r="E250" s="57" t="s">
        <v>21</v>
      </c>
      <c r="F250" s="57" t="str">
        <f>IF(B55="","",B55)</f>
        <v>Phase C / Phase A</v>
      </c>
      <c r="G250" s="18"/>
      <c r="H250" s="57" t="str">
        <f>IF(D55="","",D55)</f>
        <v>any</v>
      </c>
      <c r="I250" s="57" t="str">
        <f>IF(AND(EXACT(D8,"Yes"),ISTEXT(D8)),B8,"")</f>
        <v/>
      </c>
      <c r="J250" s="57" t="str">
        <f>IF(AND(EXACT(D8,"Yes"),ISTEXT(D8)),E8,"")</f>
        <v/>
      </c>
      <c r="K250" s="18"/>
      <c r="L250" s="69"/>
    </row>
    <row r="251" spans="1:12" s="70" customFormat="1" ht="22.15" customHeight="1" x14ac:dyDescent="0.2">
      <c r="A251" s="66"/>
      <c r="B251" s="67">
        <v>2</v>
      </c>
      <c r="C251" s="68"/>
      <c r="D251" s="67">
        <v>1</v>
      </c>
      <c r="E251" s="57" t="s">
        <v>22</v>
      </c>
      <c r="F251" s="57" t="str">
        <f>IF(B55="","",B55)</f>
        <v>Phase C / Phase A</v>
      </c>
      <c r="G251" s="18"/>
      <c r="H251" s="57" t="str">
        <f>IF(D55="","",D55)</f>
        <v>any</v>
      </c>
      <c r="I251" s="57" t="str">
        <f>IF(AND(EXACT(D8,"Yes"),ISTEXT(D8)),B8,"")</f>
        <v/>
      </c>
      <c r="J251" s="57" t="str">
        <f>IF(AND(EXACT(D8,"Yes"),ISTEXT(D8)),E8,"")</f>
        <v/>
      </c>
      <c r="K251" s="18"/>
      <c r="L251" s="69"/>
    </row>
    <row r="252" spans="1:12" s="64" customFormat="1" ht="22.15" customHeight="1" x14ac:dyDescent="0.2">
      <c r="A252" s="65"/>
      <c r="B252" s="128" t="s">
        <v>91</v>
      </c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</row>
    <row r="253" spans="1:12" s="70" customFormat="1" ht="22.15" customHeight="1" x14ac:dyDescent="0.2">
      <c r="A253" s="66"/>
      <c r="B253" s="71" t="s">
        <v>113</v>
      </c>
      <c r="C253" s="68"/>
      <c r="D253" s="67">
        <v>1</v>
      </c>
      <c r="E253" s="57" t="s">
        <v>20</v>
      </c>
      <c r="F253" s="56" t="str">
        <f>IF(B57="","",B57)</f>
        <v>Frequency</v>
      </c>
      <c r="G253" s="63"/>
      <c r="H253" s="57" t="str">
        <f>IF(D57="","",D57)</f>
        <v>any</v>
      </c>
      <c r="I253" s="57" t="str">
        <f>IF(AND(EXACT(D8,"Yes"),ISTEXT(D8)),B8,"")</f>
        <v/>
      </c>
      <c r="J253" s="57" t="str">
        <f>IF(AND(EXACT(D8,"Yes"),ISTEXT(D8)),E8,"")</f>
        <v/>
      </c>
      <c r="K253" s="18"/>
      <c r="L253" s="69"/>
    </row>
    <row r="254" spans="1:12" s="70" customFormat="1" ht="22.15" customHeight="1" x14ac:dyDescent="0.2">
      <c r="A254" s="66"/>
      <c r="B254" s="71" t="s">
        <v>114</v>
      </c>
      <c r="C254" s="68"/>
      <c r="D254" s="67">
        <v>2</v>
      </c>
      <c r="E254" s="57" t="s">
        <v>20</v>
      </c>
      <c r="F254" s="56" t="str">
        <f>IF(B57="","",B57)</f>
        <v>Frequency</v>
      </c>
      <c r="G254" s="63"/>
      <c r="H254" s="57" t="str">
        <f>IF(D57="","",D57)</f>
        <v>any</v>
      </c>
      <c r="I254" s="57" t="str">
        <f>IF(AND(EXACT(D9,"Yes"),ISTEXT(D9)),B9,"")</f>
        <v/>
      </c>
      <c r="J254" s="57"/>
      <c r="K254" s="18"/>
      <c r="L254" s="69"/>
    </row>
    <row r="255" spans="1:12" s="64" customFormat="1" ht="22.15" customHeight="1" x14ac:dyDescent="0.2">
      <c r="A255" s="65"/>
      <c r="B255" s="128" t="s">
        <v>92</v>
      </c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</row>
    <row r="256" spans="1:12" s="70" customFormat="1" ht="22.15" customHeight="1" x14ac:dyDescent="0.2">
      <c r="A256" s="66"/>
      <c r="B256" s="67">
        <v>1</v>
      </c>
      <c r="C256" s="68"/>
      <c r="D256" s="67">
        <v>1</v>
      </c>
      <c r="E256" s="57" t="s">
        <v>21</v>
      </c>
      <c r="F256" s="57" t="str">
        <f>IF(B57="","",B57)</f>
        <v>Frequency</v>
      </c>
      <c r="G256" s="18"/>
      <c r="H256" s="57" t="str">
        <f>IF(D57="","",D57)</f>
        <v>any</v>
      </c>
      <c r="I256" s="57" t="str">
        <f>IF(AND(EXACT(D8,"Yes"),ISTEXT(D8)),B8,"")</f>
        <v/>
      </c>
      <c r="J256" s="57" t="str">
        <f>IF(AND(EXACT(D8,"Yes"),ISTEXT(D8)),E8,"")</f>
        <v/>
      </c>
      <c r="K256" s="18"/>
      <c r="L256" s="69"/>
    </row>
    <row r="257" spans="1:14" s="70" customFormat="1" ht="22.15" customHeight="1" x14ac:dyDescent="0.2">
      <c r="A257" s="66"/>
      <c r="B257" s="67">
        <v>2</v>
      </c>
      <c r="C257" s="68"/>
      <c r="D257" s="67">
        <v>1</v>
      </c>
      <c r="E257" s="57" t="s">
        <v>22</v>
      </c>
      <c r="F257" s="57" t="str">
        <f>IF(B57="","",B57)</f>
        <v>Frequency</v>
      </c>
      <c r="G257" s="18"/>
      <c r="H257" s="57" t="str">
        <f>IF(D57="","",D57)</f>
        <v>any</v>
      </c>
      <c r="I257" s="57" t="str">
        <f>IF(AND(EXACT(D8,"Yes"),ISTEXT(D8)),B8,"")</f>
        <v/>
      </c>
      <c r="J257" s="57" t="str">
        <f>IF(AND(EXACT(D8,"Yes"),ISTEXT(D8)),E8,"")</f>
        <v/>
      </c>
      <c r="K257" s="18"/>
      <c r="L257" s="69"/>
    </row>
    <row r="258" spans="1:14" s="64" customFormat="1" ht="12.75" x14ac:dyDescent="0.2">
      <c r="A258" s="1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64" customFormat="1" ht="12.75" x14ac:dyDescent="0.2">
      <c r="A259" s="1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64" customFormat="1" ht="12.75" x14ac:dyDescent="0.2">
      <c r="A260" s="1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64" customFormat="1" ht="12.75" x14ac:dyDescent="0.2">
      <c r="A261" s="1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64" customFormat="1" ht="12.75" x14ac:dyDescent="0.2">
      <c r="A262" s="1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64" customFormat="1" ht="12.75" x14ac:dyDescent="0.2">
      <c r="A263" s="1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64" customFormat="1" ht="12.75" x14ac:dyDescent="0.2">
      <c r="A264" s="1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64" customFormat="1" ht="12.75" x14ac:dyDescent="0.2">
      <c r="A265" s="1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64" customFormat="1" ht="12.75" x14ac:dyDescent="0.2">
      <c r="A266" s="1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64" customFormat="1" ht="12.75" x14ac:dyDescent="0.2">
      <c r="A267" s="1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64" customFormat="1" ht="12.75" x14ac:dyDescent="0.2">
      <c r="A268" s="1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64" customFormat="1" ht="12.75" x14ac:dyDescent="0.2">
      <c r="A269" s="1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64" customFormat="1" ht="12.75" x14ac:dyDescent="0.2">
      <c r="A270" s="1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2.75" x14ac:dyDescent="0.2">
      <c r="A271" s="1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2.75" x14ac:dyDescent="0.2">
      <c r="A272" s="1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2.75" x14ac:dyDescent="0.2">
      <c r="A273" s="1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2.75" x14ac:dyDescent="0.2">
      <c r="A274" s="1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2.75" x14ac:dyDescent="0.2">
      <c r="A275" s="1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2.75" x14ac:dyDescent="0.2">
      <c r="A276" s="1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2.75" x14ac:dyDescent="0.2">
      <c r="A277" s="1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2.75" x14ac:dyDescent="0.2">
      <c r="A278" s="1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2.75" x14ac:dyDescent="0.2">
      <c r="A279" s="1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2.75" x14ac:dyDescent="0.2">
      <c r="A280" s="1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2.75" x14ac:dyDescent="0.2">
      <c r="A281" s="1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2.75" x14ac:dyDescent="0.2">
      <c r="A282" s="1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2.75" x14ac:dyDescent="0.2">
      <c r="A283" s="1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2.75" x14ac:dyDescent="0.2">
      <c r="A284" s="1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2.75" x14ac:dyDescent="0.2">
      <c r="A285" s="1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2.75" x14ac:dyDescent="0.2">
      <c r="A286" s="1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2.75" x14ac:dyDescent="0.2">
      <c r="A287" s="1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2.75" x14ac:dyDescent="0.2">
      <c r="A288" s="1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2.75" x14ac:dyDescent="0.2">
      <c r="A289" s="1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2.75" x14ac:dyDescent="0.2">
      <c r="A290" s="1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2.75" x14ac:dyDescent="0.2">
      <c r="A291" s="1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2.75" x14ac:dyDescent="0.2">
      <c r="A292" s="1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2.75" x14ac:dyDescent="0.2">
      <c r="A293" s="1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2.75" x14ac:dyDescent="0.2">
      <c r="A294" s="1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2.75" x14ac:dyDescent="0.2">
      <c r="A295" s="1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2.75" x14ac:dyDescent="0.2">
      <c r="A296" s="1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2.75" x14ac:dyDescent="0.2">
      <c r="A297" s="1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2.75" x14ac:dyDescent="0.2">
      <c r="A298" s="1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2.75" x14ac:dyDescent="0.2">
      <c r="A299" s="1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2.75" x14ac:dyDescent="0.2">
      <c r="A300" s="1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2.75" x14ac:dyDescent="0.2">
      <c r="A301" s="1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2.75" x14ac:dyDescent="0.2">
      <c r="A302" s="1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2.75" x14ac:dyDescent="0.2">
      <c r="A303" s="1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2.75" x14ac:dyDescent="0.2">
      <c r="A304" s="1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2.75" x14ac:dyDescent="0.2">
      <c r="A305" s="1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2.75" x14ac:dyDescent="0.2">
      <c r="A306" s="1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2.75" x14ac:dyDescent="0.2">
      <c r="A307" s="1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2.75" x14ac:dyDescent="0.2">
      <c r="A308" s="1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2.75" x14ac:dyDescent="0.2">
      <c r="A309" s="1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2.75" x14ac:dyDescent="0.2">
      <c r="A310" s="1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2.75" x14ac:dyDescent="0.2">
      <c r="A311" s="1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2.75" x14ac:dyDescent="0.2">
      <c r="A312" s="1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2.75" x14ac:dyDescent="0.2">
      <c r="A313" s="1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2.75" x14ac:dyDescent="0.2">
      <c r="A314" s="1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2.75" x14ac:dyDescent="0.2">
      <c r="A315" s="1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2.75" x14ac:dyDescent="0.2">
      <c r="A316" s="1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2.75" x14ac:dyDescent="0.2">
      <c r="A317" s="1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2.75" x14ac:dyDescent="0.2">
      <c r="A318" s="1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2.75" x14ac:dyDescent="0.2">
      <c r="A319" s="1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2.75" x14ac:dyDescent="0.2">
      <c r="A320" s="1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2.75" x14ac:dyDescent="0.2">
      <c r="A321" s="1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2.75" x14ac:dyDescent="0.2">
      <c r="A322" s="1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2.75" x14ac:dyDescent="0.2">
      <c r="A323" s="1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2.75" x14ac:dyDescent="0.2">
      <c r="A324" s="1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2.75" x14ac:dyDescent="0.2">
      <c r="A325" s="1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2.75" x14ac:dyDescent="0.2">
      <c r="A326" s="1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2.75" x14ac:dyDescent="0.2">
      <c r="A327" s="1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2.75" x14ac:dyDescent="0.2">
      <c r="A328" s="1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2.75" x14ac:dyDescent="0.2">
      <c r="A329" s="1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2.75" x14ac:dyDescent="0.2">
      <c r="A330" s="1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2.75" x14ac:dyDescent="0.2">
      <c r="A331" s="1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2.75" x14ac:dyDescent="0.2">
      <c r="A332" s="1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2.75" x14ac:dyDescent="0.2">
      <c r="A333" s="1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2.75" x14ac:dyDescent="0.2">
      <c r="A334" s="1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2.75" x14ac:dyDescent="0.2">
      <c r="A335" s="1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2.75" x14ac:dyDescent="0.2">
      <c r="A336" s="1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2.75" x14ac:dyDescent="0.2">
      <c r="A337" s="1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2.75" x14ac:dyDescent="0.2">
      <c r="A338" s="1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2.75" x14ac:dyDescent="0.2">
      <c r="A339" s="1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2.75" x14ac:dyDescent="0.2">
      <c r="A340" s="1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2.75" x14ac:dyDescent="0.2">
      <c r="A341" s="1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2.75" x14ac:dyDescent="0.2">
      <c r="A342" s="1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2.75" x14ac:dyDescent="0.2">
      <c r="A343" s="1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2.75" x14ac:dyDescent="0.2">
      <c r="A344" s="1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2.75" x14ac:dyDescent="0.2">
      <c r="A345" s="1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2.75" x14ac:dyDescent="0.2">
      <c r="A346" s="1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2.75" x14ac:dyDescent="0.2">
      <c r="A347" s="1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2.75" x14ac:dyDescent="0.2">
      <c r="A348" s="1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2.75" x14ac:dyDescent="0.2">
      <c r="A349" s="1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2.75" x14ac:dyDescent="0.2">
      <c r="A350" s="1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2.75" x14ac:dyDescent="0.2">
      <c r="A351" s="1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2.75" x14ac:dyDescent="0.2">
      <c r="A352" s="1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2.75" x14ac:dyDescent="0.2">
      <c r="A353" s="1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2.75" x14ac:dyDescent="0.2">
      <c r="A354" s="1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2.75" x14ac:dyDescent="0.2">
      <c r="A355" s="1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2.75" x14ac:dyDescent="0.2">
      <c r="A356" s="1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2.75" x14ac:dyDescent="0.2">
      <c r="A357" s="1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2.75" x14ac:dyDescent="0.2">
      <c r="A358" s="1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2.75" x14ac:dyDescent="0.2">
      <c r="A359" s="1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2.75" x14ac:dyDescent="0.2">
      <c r="A360" s="1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2.75" x14ac:dyDescent="0.2">
      <c r="A361" s="1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2.75" x14ac:dyDescent="0.2">
      <c r="A362" s="1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2.75" x14ac:dyDescent="0.2">
      <c r="A363" s="1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2.75" x14ac:dyDescent="0.2">
      <c r="A364" s="1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2.75" x14ac:dyDescent="0.2">
      <c r="A365" s="1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2.75" x14ac:dyDescent="0.2">
      <c r="A366" s="1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2.75" x14ac:dyDescent="0.2">
      <c r="A367" s="1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2.75" x14ac:dyDescent="0.2">
      <c r="A368" s="1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2.75" x14ac:dyDescent="0.2">
      <c r="A369" s="1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2.75" x14ac:dyDescent="0.2">
      <c r="A370" s="1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2.75" x14ac:dyDescent="0.2">
      <c r="A371" s="1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2.75" x14ac:dyDescent="0.2">
      <c r="A372" s="1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2.75" x14ac:dyDescent="0.2">
      <c r="A373" s="1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2.75" x14ac:dyDescent="0.2">
      <c r="A374" s="1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2.75" x14ac:dyDescent="0.2">
      <c r="A375" s="1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2.75" x14ac:dyDescent="0.2">
      <c r="A376" s="1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2.75" x14ac:dyDescent="0.2">
      <c r="A377" s="1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2.75" x14ac:dyDescent="0.2">
      <c r="A378" s="1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2.75" x14ac:dyDescent="0.2">
      <c r="A379" s="1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2.75" x14ac:dyDescent="0.2">
      <c r="A380" s="1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2.75" x14ac:dyDescent="0.2">
      <c r="A381" s="1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2.75" x14ac:dyDescent="0.2">
      <c r="A382" s="1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2.75" x14ac:dyDescent="0.2">
      <c r="A383" s="1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2.75" x14ac:dyDescent="0.2">
      <c r="A384" s="1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2.75" x14ac:dyDescent="0.2">
      <c r="A385" s="1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2.75" x14ac:dyDescent="0.2">
      <c r="A386" s="1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2.75" x14ac:dyDescent="0.2">
      <c r="A387" s="1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2.75" x14ac:dyDescent="0.2">
      <c r="A388" s="1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2.75" x14ac:dyDescent="0.2">
      <c r="A389" s="1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2.75" x14ac:dyDescent="0.2">
      <c r="A390" s="1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2.75" x14ac:dyDescent="0.2">
      <c r="A391" s="1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2.75" x14ac:dyDescent="0.2">
      <c r="A392" s="1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2.75" x14ac:dyDescent="0.2">
      <c r="A393" s="1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2.75" x14ac:dyDescent="0.2">
      <c r="A394" s="1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2.75" x14ac:dyDescent="0.2">
      <c r="A395" s="1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2.75" x14ac:dyDescent="0.2">
      <c r="A396" s="1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2.75" x14ac:dyDescent="0.2">
      <c r="A397" s="1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2.75" x14ac:dyDescent="0.2">
      <c r="A398" s="1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2.75" x14ac:dyDescent="0.2">
      <c r="A399" s="1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2.75" x14ac:dyDescent="0.2">
      <c r="A400" s="1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2.75" x14ac:dyDescent="0.2">
      <c r="A401" s="1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2.75" x14ac:dyDescent="0.2">
      <c r="A402" s="1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2.75" x14ac:dyDescent="0.2">
      <c r="A403" s="1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2.75" x14ac:dyDescent="0.2">
      <c r="A404" s="1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2.75" x14ac:dyDescent="0.2">
      <c r="A405" s="1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2.75" x14ac:dyDescent="0.2">
      <c r="A406" s="1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2.75" x14ac:dyDescent="0.2">
      <c r="A407" s="1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2.75" x14ac:dyDescent="0.2">
      <c r="A408" s="1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2.75" x14ac:dyDescent="0.2">
      <c r="A409" s="1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2.75" x14ac:dyDescent="0.2">
      <c r="A410" s="1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2.75" x14ac:dyDescent="0.2">
      <c r="A411" s="1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2.75" x14ac:dyDescent="0.2">
      <c r="A412" s="1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2.75" x14ac:dyDescent="0.2">
      <c r="A413" s="1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2.75" x14ac:dyDescent="0.2">
      <c r="A414" s="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2.75" x14ac:dyDescent="0.2">
      <c r="A415" s="1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2.75" x14ac:dyDescent="0.2">
      <c r="A416" s="1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2.75" x14ac:dyDescent="0.2">
      <c r="A417" s="1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2.75" x14ac:dyDescent="0.2">
      <c r="A418" s="1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2.75" x14ac:dyDescent="0.2">
      <c r="A419" s="1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2.75" x14ac:dyDescent="0.2">
      <c r="A420" s="1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2.75" x14ac:dyDescent="0.2">
      <c r="A421" s="1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2.75" x14ac:dyDescent="0.2">
      <c r="A422" s="1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2.75" x14ac:dyDescent="0.2">
      <c r="A423" s="1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2.75" x14ac:dyDescent="0.2">
      <c r="A424" s="1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2.75" x14ac:dyDescent="0.2">
      <c r="A425" s="1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2.75" x14ac:dyDescent="0.2">
      <c r="A426" s="1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2.75" x14ac:dyDescent="0.2">
      <c r="A427" s="1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2.75" x14ac:dyDescent="0.2">
      <c r="A428" s="1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2.75" x14ac:dyDescent="0.2">
      <c r="A429" s="1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2.75" x14ac:dyDescent="0.2">
      <c r="A430" s="1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2.75" x14ac:dyDescent="0.2">
      <c r="A431" s="1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2.75" x14ac:dyDescent="0.2">
      <c r="A432" s="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2.75" x14ac:dyDescent="0.2">
      <c r="A433" s="1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2.75" x14ac:dyDescent="0.2">
      <c r="A434" s="1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2.75" x14ac:dyDescent="0.2">
      <c r="A435" s="1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2.75" x14ac:dyDescent="0.2">
      <c r="A436" s="1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2.75" x14ac:dyDescent="0.2">
      <c r="A437" s="1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2.75" x14ac:dyDescent="0.2">
      <c r="A438" s="1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2.75" x14ac:dyDescent="0.2">
      <c r="A439" s="1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2.75" x14ac:dyDescent="0.2">
      <c r="A440" s="1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2.75" x14ac:dyDescent="0.2">
      <c r="A441" s="1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2.75" x14ac:dyDescent="0.2">
      <c r="A442" s="1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2.75" x14ac:dyDescent="0.2">
      <c r="A443" s="1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2.75" x14ac:dyDescent="0.2">
      <c r="A444" s="1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2.75" x14ac:dyDescent="0.2">
      <c r="A445" s="1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2.75" x14ac:dyDescent="0.2">
      <c r="A446" s="1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2.75" x14ac:dyDescent="0.2">
      <c r="A447" s="1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2.75" x14ac:dyDescent="0.2">
      <c r="A448" s="1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2.75" x14ac:dyDescent="0.2">
      <c r="A449" s="1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2.75" x14ac:dyDescent="0.2">
      <c r="A450" s="1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2.75" x14ac:dyDescent="0.2">
      <c r="A451" s="1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2.75" x14ac:dyDescent="0.2">
      <c r="A452" s="1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2.75" x14ac:dyDescent="0.2">
      <c r="A453" s="1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2.75" x14ac:dyDescent="0.2">
      <c r="A454" s="1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2.75" x14ac:dyDescent="0.2">
      <c r="A455" s="1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2.75" x14ac:dyDescent="0.2">
      <c r="A456" s="1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2.75" x14ac:dyDescent="0.2">
      <c r="A457" s="1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2.75" x14ac:dyDescent="0.2">
      <c r="A458" s="1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2.75" x14ac:dyDescent="0.2">
      <c r="A459" s="1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2.75" x14ac:dyDescent="0.2">
      <c r="A460" s="1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2.75" x14ac:dyDescent="0.2">
      <c r="A461" s="1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2.75" x14ac:dyDescent="0.2">
      <c r="A462" s="1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2.75" x14ac:dyDescent="0.2">
      <c r="A463" s="1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2.75" x14ac:dyDescent="0.2">
      <c r="A464" s="1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2.75" x14ac:dyDescent="0.2">
      <c r="A465" s="1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2.75" x14ac:dyDescent="0.2">
      <c r="A466" s="1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2.75" x14ac:dyDescent="0.2">
      <c r="A467" s="1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2.75" x14ac:dyDescent="0.2">
      <c r="A468" s="1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2.75" x14ac:dyDescent="0.2">
      <c r="A469" s="1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2.75" x14ac:dyDescent="0.2">
      <c r="A470" s="1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2.75" x14ac:dyDescent="0.2">
      <c r="A471" s="1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2.75" x14ac:dyDescent="0.2">
      <c r="A472" s="1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2.75" x14ac:dyDescent="0.2">
      <c r="A473" s="1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2.75" x14ac:dyDescent="0.2">
      <c r="A474" s="1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2.75" x14ac:dyDescent="0.2">
      <c r="A475" s="1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2.75" x14ac:dyDescent="0.2">
      <c r="A476" s="1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2.75" x14ac:dyDescent="0.2">
      <c r="A477" s="1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2.75" x14ac:dyDescent="0.2">
      <c r="A478" s="1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2.75" x14ac:dyDescent="0.2">
      <c r="A479" s="1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2.75" x14ac:dyDescent="0.2">
      <c r="A480" s="1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2.75" x14ac:dyDescent="0.2">
      <c r="A481" s="1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2.75" x14ac:dyDescent="0.2">
      <c r="A482" s="1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2.75" x14ac:dyDescent="0.2">
      <c r="A483" s="1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2.75" x14ac:dyDescent="0.2">
      <c r="A484" s="1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2.75" x14ac:dyDescent="0.2">
      <c r="A485" s="1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2.75" x14ac:dyDescent="0.2">
      <c r="A486" s="1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2.75" x14ac:dyDescent="0.2">
      <c r="A487" s="1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2.75" x14ac:dyDescent="0.2">
      <c r="A488" s="1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2.75" x14ac:dyDescent="0.2">
      <c r="A489" s="1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2.75" x14ac:dyDescent="0.2">
      <c r="A490" s="1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2.75" x14ac:dyDescent="0.2">
      <c r="A491" s="1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2.75" x14ac:dyDescent="0.2">
      <c r="A492" s="1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2.75" x14ac:dyDescent="0.2">
      <c r="A493" s="1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2.75" x14ac:dyDescent="0.2">
      <c r="A494" s="1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2.75" x14ac:dyDescent="0.2">
      <c r="A495" s="1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2.75" x14ac:dyDescent="0.2">
      <c r="A496" s="1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2.75" x14ac:dyDescent="0.2">
      <c r="A497" s="1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2.75" x14ac:dyDescent="0.2">
      <c r="A498" s="1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2.75" x14ac:dyDescent="0.2">
      <c r="A499" s="1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2.75" x14ac:dyDescent="0.2">
      <c r="A500" s="1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2.75" x14ac:dyDescent="0.2">
      <c r="A501" s="1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2.75" x14ac:dyDescent="0.2">
      <c r="A502" s="1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2.75" x14ac:dyDescent="0.2">
      <c r="A503" s="1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2.75" x14ac:dyDescent="0.2">
      <c r="A504" s="1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2.75" x14ac:dyDescent="0.2">
      <c r="A505" s="1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2.75" x14ac:dyDescent="0.2">
      <c r="A506" s="1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2.75" x14ac:dyDescent="0.2">
      <c r="A507" s="1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2.75" x14ac:dyDescent="0.2">
      <c r="A508" s="1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2.75" x14ac:dyDescent="0.2">
      <c r="A509" s="1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2.75" x14ac:dyDescent="0.2">
      <c r="A510" s="1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2.75" x14ac:dyDescent="0.2">
      <c r="A511" s="1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2.75" x14ac:dyDescent="0.2">
      <c r="A512" s="1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2.75" x14ac:dyDescent="0.2">
      <c r="A513" s="1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2.75" x14ac:dyDescent="0.2">
      <c r="A514" s="1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2.75" x14ac:dyDescent="0.2">
      <c r="A515" s="1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2.75" x14ac:dyDescent="0.2">
      <c r="A516" s="1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2.75" x14ac:dyDescent="0.2">
      <c r="A517" s="1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2.75" x14ac:dyDescent="0.2">
      <c r="A518" s="1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2.75" x14ac:dyDescent="0.2">
      <c r="A519" s="1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2.75" x14ac:dyDescent="0.2">
      <c r="A520" s="1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2.75" x14ac:dyDescent="0.2">
      <c r="A521" s="1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2.75" x14ac:dyDescent="0.2">
      <c r="A522" s="1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2.75" x14ac:dyDescent="0.2">
      <c r="A523" s="1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2.75" x14ac:dyDescent="0.2">
      <c r="A524" s="1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2.75" x14ac:dyDescent="0.2">
      <c r="A525" s="1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2.75" x14ac:dyDescent="0.2">
      <c r="A526" s="1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2.75" x14ac:dyDescent="0.2">
      <c r="A527" s="1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2.75" x14ac:dyDescent="0.2">
      <c r="A528" s="1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2.75" x14ac:dyDescent="0.2">
      <c r="A529" s="1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2.75" x14ac:dyDescent="0.2">
      <c r="A530" s="1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2.75" x14ac:dyDescent="0.2">
      <c r="A531" s="1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2.75" x14ac:dyDescent="0.2">
      <c r="A532" s="1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2.75" x14ac:dyDescent="0.2">
      <c r="A533" s="1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2.75" x14ac:dyDescent="0.2">
      <c r="A534" s="1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2.75" x14ac:dyDescent="0.2">
      <c r="A535" s="1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2.75" x14ac:dyDescent="0.2">
      <c r="A536" s="1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2.75" x14ac:dyDescent="0.2">
      <c r="A537" s="1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2.75" x14ac:dyDescent="0.2">
      <c r="A538" s="1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2.75" x14ac:dyDescent="0.2">
      <c r="A539" s="1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2.75" x14ac:dyDescent="0.2">
      <c r="A540" s="1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2.75" x14ac:dyDescent="0.2">
      <c r="A541" s="1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2.75" x14ac:dyDescent="0.2">
      <c r="A542" s="1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2.75" x14ac:dyDescent="0.2">
      <c r="A543" s="1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2.75" x14ac:dyDescent="0.2">
      <c r="A544" s="1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2.75" x14ac:dyDescent="0.2">
      <c r="A545" s="1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2.75" x14ac:dyDescent="0.2">
      <c r="A546" s="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2.75" x14ac:dyDescent="0.2">
      <c r="A547" s="1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2.75" x14ac:dyDescent="0.2">
      <c r="A548" s="1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2.75" x14ac:dyDescent="0.2">
      <c r="A549" s="1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2.75" x14ac:dyDescent="0.2">
      <c r="A550" s="1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2.75" x14ac:dyDescent="0.2">
      <c r="A551" s="1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2.75" x14ac:dyDescent="0.2">
      <c r="A552" s="1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2.75" x14ac:dyDescent="0.2">
      <c r="A553" s="1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2.75" x14ac:dyDescent="0.2">
      <c r="A554" s="1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2.75" x14ac:dyDescent="0.2">
      <c r="A555" s="1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2.75" x14ac:dyDescent="0.2">
      <c r="A556" s="1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2.75" x14ac:dyDescent="0.2">
      <c r="A557" s="1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2.75" x14ac:dyDescent="0.2">
      <c r="A558" s="1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2.75" x14ac:dyDescent="0.2">
      <c r="A559" s="1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2.75" x14ac:dyDescent="0.2">
      <c r="A560" s="1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2.75" x14ac:dyDescent="0.2">
      <c r="A561" s="1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2.75" x14ac:dyDescent="0.2">
      <c r="A562" s="1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2.75" x14ac:dyDescent="0.2">
      <c r="A563" s="1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2.75" x14ac:dyDescent="0.2">
      <c r="A564" s="1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2.75" x14ac:dyDescent="0.2">
      <c r="A565" s="1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2.75" x14ac:dyDescent="0.2">
      <c r="A566" s="1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2.75" x14ac:dyDescent="0.2">
      <c r="A567" s="1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2.75" x14ac:dyDescent="0.2">
      <c r="A568" s="1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2.75" x14ac:dyDescent="0.2">
      <c r="A569" s="1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2.75" x14ac:dyDescent="0.2">
      <c r="A570" s="1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2.75" x14ac:dyDescent="0.2">
      <c r="A571" s="1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2.75" x14ac:dyDescent="0.2">
      <c r="A572" s="1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2.75" x14ac:dyDescent="0.2">
      <c r="A573" s="1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2.75" x14ac:dyDescent="0.2">
      <c r="A574" s="1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2.75" x14ac:dyDescent="0.2">
      <c r="A575" s="1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2.75" x14ac:dyDescent="0.2">
      <c r="A576" s="1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2.75" x14ac:dyDescent="0.2">
      <c r="A577" s="1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2.75" x14ac:dyDescent="0.2">
      <c r="A578" s="1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2.75" x14ac:dyDescent="0.2">
      <c r="A579" s="1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2.75" x14ac:dyDescent="0.2">
      <c r="A580" s="1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2.75" x14ac:dyDescent="0.2">
      <c r="A581" s="1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2.75" x14ac:dyDescent="0.2">
      <c r="A582" s="1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2.75" x14ac:dyDescent="0.2">
      <c r="A583" s="1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2.75" x14ac:dyDescent="0.2">
      <c r="A584" s="1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2.75" x14ac:dyDescent="0.2">
      <c r="A585" s="1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2.75" x14ac:dyDescent="0.2">
      <c r="A586" s="1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2.75" x14ac:dyDescent="0.2">
      <c r="A587" s="1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2.75" x14ac:dyDescent="0.2">
      <c r="A588" s="1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2.75" x14ac:dyDescent="0.2">
      <c r="A589" s="1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2.75" x14ac:dyDescent="0.2">
      <c r="A590" s="1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2.75" x14ac:dyDescent="0.2">
      <c r="A591" s="1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2.75" x14ac:dyDescent="0.2">
      <c r="A592" s="1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2.75" x14ac:dyDescent="0.2">
      <c r="A593" s="1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2.75" x14ac:dyDescent="0.2">
      <c r="A594" s="1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2.75" x14ac:dyDescent="0.2">
      <c r="A595" s="1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2.75" x14ac:dyDescent="0.2">
      <c r="A596" s="1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2.75" x14ac:dyDescent="0.2">
      <c r="A597" s="1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2.75" x14ac:dyDescent="0.2">
      <c r="A598" s="1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2.75" x14ac:dyDescent="0.2">
      <c r="A599" s="1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2.75" x14ac:dyDescent="0.2">
      <c r="A600" s="1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2.75" x14ac:dyDescent="0.2">
      <c r="A601" s="1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2.75" x14ac:dyDescent="0.2">
      <c r="A602" s="1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2.75" x14ac:dyDescent="0.2">
      <c r="A603" s="1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2.75" x14ac:dyDescent="0.2">
      <c r="A604" s="1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2.75" x14ac:dyDescent="0.2">
      <c r="A605" s="1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2.75" x14ac:dyDescent="0.2">
      <c r="A606" s="1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2.75" x14ac:dyDescent="0.2">
      <c r="A607" s="1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2.75" x14ac:dyDescent="0.2">
      <c r="A608" s="1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2.75" x14ac:dyDescent="0.2">
      <c r="A609" s="1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2.75" x14ac:dyDescent="0.2">
      <c r="A610" s="1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2.75" x14ac:dyDescent="0.2">
      <c r="A611" s="1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2.75" x14ac:dyDescent="0.2">
      <c r="A612" s="1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2.75" x14ac:dyDescent="0.2">
      <c r="A613" s="1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2.75" x14ac:dyDescent="0.2">
      <c r="A614" s="1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2.75" x14ac:dyDescent="0.2">
      <c r="A615" s="1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2.75" x14ac:dyDescent="0.2">
      <c r="A616" s="1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2.75" x14ac:dyDescent="0.2">
      <c r="A617" s="1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2.75" x14ac:dyDescent="0.2">
      <c r="A618" s="1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2.75" x14ac:dyDescent="0.2">
      <c r="A619" s="1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2.75" x14ac:dyDescent="0.2">
      <c r="A620" s="1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2.75" x14ac:dyDescent="0.2">
      <c r="A621" s="1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2.75" x14ac:dyDescent="0.2">
      <c r="A622" s="1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2.75" x14ac:dyDescent="0.2">
      <c r="A623" s="1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2.75" x14ac:dyDescent="0.2">
      <c r="A624" s="1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2.75" x14ac:dyDescent="0.2">
      <c r="A625" s="1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2.75" x14ac:dyDescent="0.2">
      <c r="A626" s="1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2.75" x14ac:dyDescent="0.2">
      <c r="A627" s="1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2.75" x14ac:dyDescent="0.2">
      <c r="A628" s="1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2.75" x14ac:dyDescent="0.2">
      <c r="A629" s="1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2.75" x14ac:dyDescent="0.2">
      <c r="A630" s="1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2.75" x14ac:dyDescent="0.2">
      <c r="A631" s="1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2.75" x14ac:dyDescent="0.2">
      <c r="A632" s="1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2.75" x14ac:dyDescent="0.2">
      <c r="A633" s="1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2.75" x14ac:dyDescent="0.2">
      <c r="A634" s="1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2.75" x14ac:dyDescent="0.2">
      <c r="A635" s="1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2.75" x14ac:dyDescent="0.2">
      <c r="A636" s="1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2.75" x14ac:dyDescent="0.2">
      <c r="A637" s="1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2.75" x14ac:dyDescent="0.2">
      <c r="A638" s="1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2.75" x14ac:dyDescent="0.2">
      <c r="A639" s="1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2.75" x14ac:dyDescent="0.2">
      <c r="A640" s="1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2.75" x14ac:dyDescent="0.2">
      <c r="A641" s="1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2.75" x14ac:dyDescent="0.2">
      <c r="A642" s="1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2.75" x14ac:dyDescent="0.2">
      <c r="A643" s="1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2.75" x14ac:dyDescent="0.2">
      <c r="A644" s="1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2.75" x14ac:dyDescent="0.2">
      <c r="A645" s="1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2.75" x14ac:dyDescent="0.2">
      <c r="A646" s="1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2.75" x14ac:dyDescent="0.2">
      <c r="A647" s="1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2.75" x14ac:dyDescent="0.2">
      <c r="A648" s="1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2.75" x14ac:dyDescent="0.2">
      <c r="A649" s="1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2.75" x14ac:dyDescent="0.2">
      <c r="A650" s="1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2.75" x14ac:dyDescent="0.2">
      <c r="A651" s="1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2.75" x14ac:dyDescent="0.2">
      <c r="A652" s="1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2.75" x14ac:dyDescent="0.2">
      <c r="A653" s="1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2.75" x14ac:dyDescent="0.2">
      <c r="A654" s="1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2.75" x14ac:dyDescent="0.2">
      <c r="A655" s="1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2.75" x14ac:dyDescent="0.2">
      <c r="A656" s="1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2.75" x14ac:dyDescent="0.2">
      <c r="A657" s="1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2.75" x14ac:dyDescent="0.2">
      <c r="A658" s="1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2.75" x14ac:dyDescent="0.2">
      <c r="A659" s="1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2.75" x14ac:dyDescent="0.2">
      <c r="A660" s="1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2.75" x14ac:dyDescent="0.2">
      <c r="A661" s="1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2.75" x14ac:dyDescent="0.2">
      <c r="A662" s="1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2.75" x14ac:dyDescent="0.2">
      <c r="A663" s="1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2.75" x14ac:dyDescent="0.2">
      <c r="A664" s="1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2.75" x14ac:dyDescent="0.2">
      <c r="A665" s="1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2.75" x14ac:dyDescent="0.2">
      <c r="A666" s="1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2.75" x14ac:dyDescent="0.2">
      <c r="A667" s="1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2.75" x14ac:dyDescent="0.2">
      <c r="A668" s="1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2.75" x14ac:dyDescent="0.2">
      <c r="A669" s="1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2.75" x14ac:dyDescent="0.2">
      <c r="A670" s="1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2.75" x14ac:dyDescent="0.2">
      <c r="A671" s="1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2.75" x14ac:dyDescent="0.2">
      <c r="A672" s="1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2.75" x14ac:dyDescent="0.2">
      <c r="A673" s="1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2.75" x14ac:dyDescent="0.2">
      <c r="A674" s="1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2.75" x14ac:dyDescent="0.2">
      <c r="A675" s="1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2.75" x14ac:dyDescent="0.2">
      <c r="A676" s="1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2.75" x14ac:dyDescent="0.2">
      <c r="A677" s="1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2.75" x14ac:dyDescent="0.2">
      <c r="A678" s="1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2.75" x14ac:dyDescent="0.2">
      <c r="A679" s="1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2.75" x14ac:dyDescent="0.2">
      <c r="A680" s="1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2.75" x14ac:dyDescent="0.2">
      <c r="A681" s="1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2.75" x14ac:dyDescent="0.2">
      <c r="A682" s="1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2.75" x14ac:dyDescent="0.2">
      <c r="A683" s="1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2.75" x14ac:dyDescent="0.2">
      <c r="A684" s="1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2.75" x14ac:dyDescent="0.2">
      <c r="A685" s="1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2.75" x14ac:dyDescent="0.2">
      <c r="A686" s="1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2.75" x14ac:dyDescent="0.2">
      <c r="A687" s="1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2.75" x14ac:dyDescent="0.2">
      <c r="A688" s="1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2.75" x14ac:dyDescent="0.2">
      <c r="A689" s="1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2.75" x14ac:dyDescent="0.2">
      <c r="A690" s="1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2.75" x14ac:dyDescent="0.2">
      <c r="A691" s="1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2.75" x14ac:dyDescent="0.2">
      <c r="A692" s="1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2.75" x14ac:dyDescent="0.2">
      <c r="A693" s="1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2.75" x14ac:dyDescent="0.2">
      <c r="A694" s="1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2.75" x14ac:dyDescent="0.2">
      <c r="A695" s="1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2.75" x14ac:dyDescent="0.2">
      <c r="A696" s="1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2.75" x14ac:dyDescent="0.2">
      <c r="A697" s="1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2.75" x14ac:dyDescent="0.2">
      <c r="A698" s="1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2.75" x14ac:dyDescent="0.2">
      <c r="A699" s="1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2.75" x14ac:dyDescent="0.2">
      <c r="A700" s="1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2.75" x14ac:dyDescent="0.2">
      <c r="A701" s="1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2.75" x14ac:dyDescent="0.2">
      <c r="A702" s="1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2.75" x14ac:dyDescent="0.2">
      <c r="A703" s="1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2.75" x14ac:dyDescent="0.2">
      <c r="A704" s="1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2.75" x14ac:dyDescent="0.2">
      <c r="A705" s="1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2.75" x14ac:dyDescent="0.2">
      <c r="A706" s="1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2.75" x14ac:dyDescent="0.2">
      <c r="A707" s="1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2.75" x14ac:dyDescent="0.2">
      <c r="A708" s="1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2.75" x14ac:dyDescent="0.2">
      <c r="A709" s="1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2.75" x14ac:dyDescent="0.2">
      <c r="A710" s="1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2.75" x14ac:dyDescent="0.2">
      <c r="A711" s="1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2.75" x14ac:dyDescent="0.2">
      <c r="A712" s="1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2.75" x14ac:dyDescent="0.2">
      <c r="A713" s="1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2.75" x14ac:dyDescent="0.2">
      <c r="A714" s="1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2.75" x14ac:dyDescent="0.2">
      <c r="A715" s="1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2.75" x14ac:dyDescent="0.2">
      <c r="A716" s="1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2.75" x14ac:dyDescent="0.2">
      <c r="A717" s="1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2.75" x14ac:dyDescent="0.2">
      <c r="A718" s="1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2.75" x14ac:dyDescent="0.2">
      <c r="A719" s="1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2.75" x14ac:dyDescent="0.2">
      <c r="A720" s="1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2.75" x14ac:dyDescent="0.2">
      <c r="A721" s="1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2.75" x14ac:dyDescent="0.2">
      <c r="A722" s="1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2.75" x14ac:dyDescent="0.2">
      <c r="A723" s="1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2.75" x14ac:dyDescent="0.2">
      <c r="A724" s="1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2.75" x14ac:dyDescent="0.2">
      <c r="A725" s="1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2.75" x14ac:dyDescent="0.2">
      <c r="A726" s="1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2.75" x14ac:dyDescent="0.2">
      <c r="A727" s="1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2.75" x14ac:dyDescent="0.2">
      <c r="A728" s="1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2.75" x14ac:dyDescent="0.2">
      <c r="A729" s="1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2.75" x14ac:dyDescent="0.2">
      <c r="A730" s="1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2.75" x14ac:dyDescent="0.2">
      <c r="A731" s="1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2.75" x14ac:dyDescent="0.2">
      <c r="A732" s="1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2.75" x14ac:dyDescent="0.2">
      <c r="A733" s="1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2.75" x14ac:dyDescent="0.2">
      <c r="A734" s="1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2.75" x14ac:dyDescent="0.2">
      <c r="A735" s="1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2.75" x14ac:dyDescent="0.2">
      <c r="A736" s="1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2.75" x14ac:dyDescent="0.2">
      <c r="A737" s="1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2.75" x14ac:dyDescent="0.2">
      <c r="A738" s="1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2.75" x14ac:dyDescent="0.2">
      <c r="A739" s="1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2.75" x14ac:dyDescent="0.2">
      <c r="A740" s="1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2.75" x14ac:dyDescent="0.2">
      <c r="A741" s="1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2.75" x14ac:dyDescent="0.2">
      <c r="A742" s="1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2.75" x14ac:dyDescent="0.2">
      <c r="A743" s="1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2.75" x14ac:dyDescent="0.2">
      <c r="A744" s="1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2.75" x14ac:dyDescent="0.2">
      <c r="A745" s="1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2.75" x14ac:dyDescent="0.2">
      <c r="A746" s="1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2.75" x14ac:dyDescent="0.2">
      <c r="A747" s="1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2.75" x14ac:dyDescent="0.2">
      <c r="A748" s="1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2.75" x14ac:dyDescent="0.2">
      <c r="A749" s="1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2.75" x14ac:dyDescent="0.2">
      <c r="A750" s="1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2.75" x14ac:dyDescent="0.2">
      <c r="A751" s="1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2.75" x14ac:dyDescent="0.2">
      <c r="A752" s="1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2.75" x14ac:dyDescent="0.2">
      <c r="A753" s="1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2.75" x14ac:dyDescent="0.2">
      <c r="A754" s="1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2.75" x14ac:dyDescent="0.2">
      <c r="A755" s="1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2.75" x14ac:dyDescent="0.2">
      <c r="A756" s="1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2.75" x14ac:dyDescent="0.2">
      <c r="A757" s="1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2.75" x14ac:dyDescent="0.2">
      <c r="A758" s="1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2.75" x14ac:dyDescent="0.2">
      <c r="A759" s="1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2.75" x14ac:dyDescent="0.2">
      <c r="A760" s="1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2.75" x14ac:dyDescent="0.2">
      <c r="A761" s="1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2.75" x14ac:dyDescent="0.2">
      <c r="A762" s="1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2.75" x14ac:dyDescent="0.2">
      <c r="A763" s="1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2.75" x14ac:dyDescent="0.2">
      <c r="A764" s="1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2.75" x14ac:dyDescent="0.2">
      <c r="A765" s="1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2.75" x14ac:dyDescent="0.2">
      <c r="A766" s="1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2.75" x14ac:dyDescent="0.2">
      <c r="A767" s="1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2.75" x14ac:dyDescent="0.2">
      <c r="A768" s="1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2.75" x14ac:dyDescent="0.2">
      <c r="A769" s="1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2.75" x14ac:dyDescent="0.2">
      <c r="A770" s="1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2.75" x14ac:dyDescent="0.2">
      <c r="A771" s="1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2.75" x14ac:dyDescent="0.2">
      <c r="A772" s="1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2.75" x14ac:dyDescent="0.2">
      <c r="A773" s="1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2.75" x14ac:dyDescent="0.2">
      <c r="A774" s="1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2.75" x14ac:dyDescent="0.2">
      <c r="A775" s="1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2.75" x14ac:dyDescent="0.2">
      <c r="A776" s="1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2.75" x14ac:dyDescent="0.2">
      <c r="A777" s="1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2.75" x14ac:dyDescent="0.2">
      <c r="A778" s="1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2.75" x14ac:dyDescent="0.2">
      <c r="A779" s="1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2.75" x14ac:dyDescent="0.2">
      <c r="A780" s="1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2.75" x14ac:dyDescent="0.2">
      <c r="A781" s="1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2.75" x14ac:dyDescent="0.2">
      <c r="A782" s="1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2.75" x14ac:dyDescent="0.2">
      <c r="A783" s="1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2.75" x14ac:dyDescent="0.2">
      <c r="A784" s="1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2.75" x14ac:dyDescent="0.2">
      <c r="A785" s="1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2.75" x14ac:dyDescent="0.2">
      <c r="A786" s="1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2.75" x14ac:dyDescent="0.2">
      <c r="A787" s="1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2.75" x14ac:dyDescent="0.2">
      <c r="A788" s="1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2.75" x14ac:dyDescent="0.2">
      <c r="A789" s="1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2.75" x14ac:dyDescent="0.2">
      <c r="A790" s="1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2.75" x14ac:dyDescent="0.2">
      <c r="A791" s="1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2.75" x14ac:dyDescent="0.2">
      <c r="A792" s="1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2.75" x14ac:dyDescent="0.2">
      <c r="A793" s="1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2.75" x14ac:dyDescent="0.2">
      <c r="A794" s="1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2.75" x14ac:dyDescent="0.2">
      <c r="A795" s="1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2.75" x14ac:dyDescent="0.2">
      <c r="A796" s="1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2.75" x14ac:dyDescent="0.2">
      <c r="A797" s="1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2.75" x14ac:dyDescent="0.2">
      <c r="A798" s="1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2.75" x14ac:dyDescent="0.2">
      <c r="A799" s="1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2.75" x14ac:dyDescent="0.2">
      <c r="A800" s="1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2.75" x14ac:dyDescent="0.2">
      <c r="A801" s="1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2.75" x14ac:dyDescent="0.2">
      <c r="A802" s="1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2.75" x14ac:dyDescent="0.2">
      <c r="A803" s="1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2.75" x14ac:dyDescent="0.2">
      <c r="A804" s="1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2.75" x14ac:dyDescent="0.2">
      <c r="A805" s="1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2.75" x14ac:dyDescent="0.2">
      <c r="A806" s="1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2.75" x14ac:dyDescent="0.2">
      <c r="A807" s="1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2.75" x14ac:dyDescent="0.2">
      <c r="A808" s="1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2.75" x14ac:dyDescent="0.2">
      <c r="A809" s="1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2.75" x14ac:dyDescent="0.2">
      <c r="A810" s="1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2.75" x14ac:dyDescent="0.2">
      <c r="A811" s="1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2.75" x14ac:dyDescent="0.2">
      <c r="A812" s="1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2.75" x14ac:dyDescent="0.2">
      <c r="A813" s="1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2.75" x14ac:dyDescent="0.2">
      <c r="A814" s="1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2.75" x14ac:dyDescent="0.2">
      <c r="A815" s="1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2.75" x14ac:dyDescent="0.2">
      <c r="A816" s="1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2.75" x14ac:dyDescent="0.2">
      <c r="A817" s="1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2.75" x14ac:dyDescent="0.2">
      <c r="A818" s="1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2.75" x14ac:dyDescent="0.2">
      <c r="A819" s="1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2.75" x14ac:dyDescent="0.2">
      <c r="A820" s="1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2.75" x14ac:dyDescent="0.2">
      <c r="A821" s="1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2.75" x14ac:dyDescent="0.2">
      <c r="A822" s="1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2.75" x14ac:dyDescent="0.2">
      <c r="A823" s="1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2.75" x14ac:dyDescent="0.2">
      <c r="A824" s="1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2.75" x14ac:dyDescent="0.2">
      <c r="A825" s="1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2.75" x14ac:dyDescent="0.2">
      <c r="A826" s="1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2.75" x14ac:dyDescent="0.2">
      <c r="A827" s="1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2.75" x14ac:dyDescent="0.2">
      <c r="A828" s="1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2.75" x14ac:dyDescent="0.2">
      <c r="A829" s="1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2.75" x14ac:dyDescent="0.2">
      <c r="A830" s="1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2.75" x14ac:dyDescent="0.2">
      <c r="A831" s="1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2.75" x14ac:dyDescent="0.2">
      <c r="A832" s="1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2.75" x14ac:dyDescent="0.2">
      <c r="A833" s="1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2.75" x14ac:dyDescent="0.2">
      <c r="A834" s="1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2.75" x14ac:dyDescent="0.2">
      <c r="A835" s="1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2.75" x14ac:dyDescent="0.2">
      <c r="A836" s="1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2.75" x14ac:dyDescent="0.2">
      <c r="A837" s="1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2.75" x14ac:dyDescent="0.2">
      <c r="A838" s="1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2.75" x14ac:dyDescent="0.2">
      <c r="A839" s="1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2.75" x14ac:dyDescent="0.2">
      <c r="A840" s="1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2.75" x14ac:dyDescent="0.2">
      <c r="A841" s="1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2.75" x14ac:dyDescent="0.2">
      <c r="A842" s="1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2.75" x14ac:dyDescent="0.2">
      <c r="A843" s="1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2.75" x14ac:dyDescent="0.2">
      <c r="A844" s="1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2.75" x14ac:dyDescent="0.2">
      <c r="A845" s="1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2.75" x14ac:dyDescent="0.2">
      <c r="A846" s="1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2.75" x14ac:dyDescent="0.2">
      <c r="A847" s="1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2.75" x14ac:dyDescent="0.2">
      <c r="A848" s="1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2.75" x14ac:dyDescent="0.2">
      <c r="A849" s="1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2.75" x14ac:dyDescent="0.2">
      <c r="A850" s="1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2.75" x14ac:dyDescent="0.2">
      <c r="A851" s="1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2.75" x14ac:dyDescent="0.2">
      <c r="A852" s="1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2.75" x14ac:dyDescent="0.2">
      <c r="A853" s="1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2.75" x14ac:dyDescent="0.2">
      <c r="A854" s="1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2.75" x14ac:dyDescent="0.2">
      <c r="A855" s="1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2.75" x14ac:dyDescent="0.2">
      <c r="A856" s="1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2.75" x14ac:dyDescent="0.2">
      <c r="A857" s="1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2.75" x14ac:dyDescent="0.2">
      <c r="A858" s="1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2.75" x14ac:dyDescent="0.2">
      <c r="A859" s="1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2.75" x14ac:dyDescent="0.2">
      <c r="A860" s="1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2.75" x14ac:dyDescent="0.2">
      <c r="A861" s="1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2.75" x14ac:dyDescent="0.2">
      <c r="A862" s="1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2.75" x14ac:dyDescent="0.2">
      <c r="A863" s="1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2.75" x14ac:dyDescent="0.2">
      <c r="A864" s="1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2.75" x14ac:dyDescent="0.2">
      <c r="A865" s="1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2.75" x14ac:dyDescent="0.2">
      <c r="A866" s="1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2.75" x14ac:dyDescent="0.2">
      <c r="A867" s="1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2.75" x14ac:dyDescent="0.2">
      <c r="A868" s="1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2.75" x14ac:dyDescent="0.2">
      <c r="A869" s="1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2.75" x14ac:dyDescent="0.2">
      <c r="A870" s="1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2.75" x14ac:dyDescent="0.2">
      <c r="A871" s="1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2.75" x14ac:dyDescent="0.2">
      <c r="A872" s="1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2.75" x14ac:dyDescent="0.2">
      <c r="A873" s="1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2.75" x14ac:dyDescent="0.2">
      <c r="A874" s="1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2.75" x14ac:dyDescent="0.2">
      <c r="A875" s="1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2.75" x14ac:dyDescent="0.2">
      <c r="A876" s="1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2.75" x14ac:dyDescent="0.2">
      <c r="A877" s="1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2.75" x14ac:dyDescent="0.2">
      <c r="A878" s="1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2.75" x14ac:dyDescent="0.2">
      <c r="A879" s="1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2.75" x14ac:dyDescent="0.2">
      <c r="A880" s="1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2.75" x14ac:dyDescent="0.2">
      <c r="A881" s="1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2.75" x14ac:dyDescent="0.2">
      <c r="A882" s="1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2.75" x14ac:dyDescent="0.2">
      <c r="A883" s="1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2.75" x14ac:dyDescent="0.2">
      <c r="A884" s="1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2.75" x14ac:dyDescent="0.2">
      <c r="A885" s="1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2.75" x14ac:dyDescent="0.2">
      <c r="A886" s="1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2.75" x14ac:dyDescent="0.2">
      <c r="A887" s="1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2.75" x14ac:dyDescent="0.2">
      <c r="A888" s="1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2.75" x14ac:dyDescent="0.2">
      <c r="A889" s="1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2.75" x14ac:dyDescent="0.2">
      <c r="A890" s="1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2.75" x14ac:dyDescent="0.2">
      <c r="A891" s="1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2.75" x14ac:dyDescent="0.2">
      <c r="A892" s="1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2.75" x14ac:dyDescent="0.2">
      <c r="A893" s="1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2.75" x14ac:dyDescent="0.2">
      <c r="A894" s="1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2.75" x14ac:dyDescent="0.2">
      <c r="A895" s="1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2.75" x14ac:dyDescent="0.2">
      <c r="A896" s="1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2.75" x14ac:dyDescent="0.2">
      <c r="A897" s="1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2.75" x14ac:dyDescent="0.2">
      <c r="A898" s="1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2.75" x14ac:dyDescent="0.2">
      <c r="A899" s="1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2.75" x14ac:dyDescent="0.2">
      <c r="A900" s="1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2.75" x14ac:dyDescent="0.2">
      <c r="A901" s="1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2.75" x14ac:dyDescent="0.2">
      <c r="A902" s="1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2.75" x14ac:dyDescent="0.2">
      <c r="A903" s="1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2.75" x14ac:dyDescent="0.2">
      <c r="A904" s="1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2.75" x14ac:dyDescent="0.2">
      <c r="A905" s="1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2.75" x14ac:dyDescent="0.2">
      <c r="A906" s="1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2.75" x14ac:dyDescent="0.2">
      <c r="A907" s="1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2.75" x14ac:dyDescent="0.2">
      <c r="A908" s="1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2.75" x14ac:dyDescent="0.2">
      <c r="A909" s="1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2.75" x14ac:dyDescent="0.2">
      <c r="A910" s="1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2.75" x14ac:dyDescent="0.2">
      <c r="A911" s="1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2.75" x14ac:dyDescent="0.2">
      <c r="A912" s="1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2.75" x14ac:dyDescent="0.2">
      <c r="A913" s="1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2.75" x14ac:dyDescent="0.2">
      <c r="A914" s="1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2.75" x14ac:dyDescent="0.2">
      <c r="A915" s="1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2.75" x14ac:dyDescent="0.2">
      <c r="A916" s="1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2.75" x14ac:dyDescent="0.2">
      <c r="A917" s="1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2.75" x14ac:dyDescent="0.2">
      <c r="A918" s="1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2.75" x14ac:dyDescent="0.2">
      <c r="A919" s="1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2.75" x14ac:dyDescent="0.2">
      <c r="A920" s="1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2.75" x14ac:dyDescent="0.2">
      <c r="A921" s="1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2.75" x14ac:dyDescent="0.2">
      <c r="A922" s="1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2.75" x14ac:dyDescent="0.2">
      <c r="A923" s="1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2.75" x14ac:dyDescent="0.2">
      <c r="A924" s="1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2.75" x14ac:dyDescent="0.2">
      <c r="A925" s="1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2.75" x14ac:dyDescent="0.2">
      <c r="A926" s="1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2.75" x14ac:dyDescent="0.2">
      <c r="A927" s="1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2.75" x14ac:dyDescent="0.2">
      <c r="A928" s="1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2.75" x14ac:dyDescent="0.2">
      <c r="A929" s="1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2.75" x14ac:dyDescent="0.2">
      <c r="A930" s="1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2.75" x14ac:dyDescent="0.2">
      <c r="A931" s="1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2.75" x14ac:dyDescent="0.2">
      <c r="A932" s="1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2.75" x14ac:dyDescent="0.2">
      <c r="A933" s="1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2.75" x14ac:dyDescent="0.2">
      <c r="A934" s="1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2.75" x14ac:dyDescent="0.2">
      <c r="A935" s="1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2.75" x14ac:dyDescent="0.2">
      <c r="A936" s="1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2.75" x14ac:dyDescent="0.2">
      <c r="A937" s="1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2.75" x14ac:dyDescent="0.2">
      <c r="A938" s="1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2.75" x14ac:dyDescent="0.2">
      <c r="A939" s="1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2.75" x14ac:dyDescent="0.2">
      <c r="A940" s="1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2.75" x14ac:dyDescent="0.2">
      <c r="A941" s="1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2.75" x14ac:dyDescent="0.2">
      <c r="A942" s="1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2.75" x14ac:dyDescent="0.2">
      <c r="A943" s="1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2.75" x14ac:dyDescent="0.2">
      <c r="A944" s="1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2.75" x14ac:dyDescent="0.2">
      <c r="A945" s="1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2.75" x14ac:dyDescent="0.2">
      <c r="A946" s="1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2.75" x14ac:dyDescent="0.2">
      <c r="A947" s="1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2.75" x14ac:dyDescent="0.2">
      <c r="A948" s="1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2.75" x14ac:dyDescent="0.2">
      <c r="A949" s="1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2.75" x14ac:dyDescent="0.2">
      <c r="A950" s="1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2.75" x14ac:dyDescent="0.2">
      <c r="A951" s="1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2.75" x14ac:dyDescent="0.2">
      <c r="A952" s="1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2.75" x14ac:dyDescent="0.2">
      <c r="A953" s="1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2.75" x14ac:dyDescent="0.2">
      <c r="A954" s="1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2.75" x14ac:dyDescent="0.2">
      <c r="A955" s="1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2.75" x14ac:dyDescent="0.2">
      <c r="A956" s="1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2.75" x14ac:dyDescent="0.2">
      <c r="A957" s="1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2.75" x14ac:dyDescent="0.2">
      <c r="A958" s="1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2.75" x14ac:dyDescent="0.2">
      <c r="A959" s="1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2.75" x14ac:dyDescent="0.2">
      <c r="A960" s="1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2.75" x14ac:dyDescent="0.2">
      <c r="A961" s="1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2.75" x14ac:dyDescent="0.2">
      <c r="A962" s="1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2.75" x14ac:dyDescent="0.2">
      <c r="A963" s="1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2.75" x14ac:dyDescent="0.2">
      <c r="A964" s="1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2.75" x14ac:dyDescent="0.2">
      <c r="A965" s="1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2.75" x14ac:dyDescent="0.2">
      <c r="A966" s="1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2.75" x14ac:dyDescent="0.2">
      <c r="A967" s="1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2.75" x14ac:dyDescent="0.2">
      <c r="A968" s="1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2.75" x14ac:dyDescent="0.2">
      <c r="A969" s="1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2.75" x14ac:dyDescent="0.2">
      <c r="A970" s="1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2.75" x14ac:dyDescent="0.2">
      <c r="A971" s="1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2.75" x14ac:dyDescent="0.2">
      <c r="A972" s="1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2.75" x14ac:dyDescent="0.2">
      <c r="A973" s="1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2.75" x14ac:dyDescent="0.2">
      <c r="A974" s="1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2.75" x14ac:dyDescent="0.2">
      <c r="A975" s="1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2.75" x14ac:dyDescent="0.2">
      <c r="A976" s="1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2.75" x14ac:dyDescent="0.2">
      <c r="A977" s="1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2.75" x14ac:dyDescent="0.2">
      <c r="A978" s="1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2.75" x14ac:dyDescent="0.2">
      <c r="A979" s="1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2.75" x14ac:dyDescent="0.2">
      <c r="A980" s="1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2.75" x14ac:dyDescent="0.2">
      <c r="A981" s="1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2.75" x14ac:dyDescent="0.2">
      <c r="A982" s="1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2.75" x14ac:dyDescent="0.2">
      <c r="A983" s="1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2.75" x14ac:dyDescent="0.2">
      <c r="A984" s="1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2.75" x14ac:dyDescent="0.2">
      <c r="A985" s="1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2.75" x14ac:dyDescent="0.2">
      <c r="A986" s="1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2.75" x14ac:dyDescent="0.2">
      <c r="A987" s="1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2.75" x14ac:dyDescent="0.2">
      <c r="A988" s="1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2.75" x14ac:dyDescent="0.2">
      <c r="A989" s="1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2.75" x14ac:dyDescent="0.2">
      <c r="A990" s="1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2.75" x14ac:dyDescent="0.2">
      <c r="A991" s="1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2.75" x14ac:dyDescent="0.2">
      <c r="A992" s="1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2.75" x14ac:dyDescent="0.2">
      <c r="A993" s="1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2.75" x14ac:dyDescent="0.2">
      <c r="A994" s="1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2.75" x14ac:dyDescent="0.2">
      <c r="A995" s="1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2.75" x14ac:dyDescent="0.2">
      <c r="A996" s="1"/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2.75" x14ac:dyDescent="0.2">
      <c r="A997" s="1"/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2.75" x14ac:dyDescent="0.2">
      <c r="A998" s="1"/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2.75" x14ac:dyDescent="0.2">
      <c r="A999" s="1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2.75" x14ac:dyDescent="0.2">
      <c r="A1000" s="1"/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2.75" x14ac:dyDescent="0.2">
      <c r="A1001" s="1"/>
      <c r="B1001" s="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2.75" x14ac:dyDescent="0.2">
      <c r="A1002" s="1"/>
      <c r="B1002" s="6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2.75" x14ac:dyDescent="0.2">
      <c r="A1003" s="1"/>
      <c r="B1003" s="6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ht="12.75" x14ac:dyDescent="0.2">
      <c r="A1004" s="1"/>
      <c r="B1004" s="6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ht="12.75" x14ac:dyDescent="0.2">
      <c r="A1005" s="1"/>
      <c r="B1005" s="6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</sheetData>
  <dataConsolidate/>
  <mergeCells count="99">
    <mergeCell ref="F59:G59"/>
    <mergeCell ref="B134:L134"/>
    <mergeCell ref="B115:L115"/>
    <mergeCell ref="B118:L118"/>
    <mergeCell ref="B121:L121"/>
    <mergeCell ref="B124:L124"/>
    <mergeCell ref="B127:L127"/>
    <mergeCell ref="B130:L130"/>
    <mergeCell ref="B132:L132"/>
    <mergeCell ref="B57:C57"/>
    <mergeCell ref="B54:C54"/>
    <mergeCell ref="B55:C55"/>
    <mergeCell ref="B53:C53"/>
    <mergeCell ref="B56:C56"/>
    <mergeCell ref="B50:C50"/>
    <mergeCell ref="B51:C51"/>
    <mergeCell ref="B42:C42"/>
    <mergeCell ref="B19:C19"/>
    <mergeCell ref="B21:C21"/>
    <mergeCell ref="B22:C22"/>
    <mergeCell ref="B23:C23"/>
    <mergeCell ref="B39:C39"/>
    <mergeCell ref="E25:F25"/>
    <mergeCell ref="B3:C3"/>
    <mergeCell ref="D3:E3"/>
    <mergeCell ref="B6:E6"/>
    <mergeCell ref="B8:C8"/>
    <mergeCell ref="B9:C9"/>
    <mergeCell ref="B13:C13"/>
    <mergeCell ref="B14:C14"/>
    <mergeCell ref="B11:D11"/>
    <mergeCell ref="B12:C12"/>
    <mergeCell ref="B16:D16"/>
    <mergeCell ref="B17:C17"/>
    <mergeCell ref="B18:C18"/>
    <mergeCell ref="B4:C4"/>
    <mergeCell ref="D4:E4"/>
    <mergeCell ref="B243:L243"/>
    <mergeCell ref="B246:L246"/>
    <mergeCell ref="B249:L249"/>
    <mergeCell ref="B252:L252"/>
    <mergeCell ref="B169:L169"/>
    <mergeCell ref="B237:L237"/>
    <mergeCell ref="B211:L211"/>
    <mergeCell ref="B219:L219"/>
    <mergeCell ref="B222:L222"/>
    <mergeCell ref="B225:L225"/>
    <mergeCell ref="B228:L228"/>
    <mergeCell ref="B231:L231"/>
    <mergeCell ref="B234:L234"/>
    <mergeCell ref="B174:L174"/>
    <mergeCell ref="B177:L177"/>
    <mergeCell ref="B240:L240"/>
    <mergeCell ref="D1:G1"/>
    <mergeCell ref="B52:C52"/>
    <mergeCell ref="B26:C26"/>
    <mergeCell ref="B49:C49"/>
    <mergeCell ref="B29:C29"/>
    <mergeCell ref="B36:C36"/>
    <mergeCell ref="B27:C28"/>
    <mergeCell ref="B37:C38"/>
    <mergeCell ref="B30:C31"/>
    <mergeCell ref="B32:C33"/>
    <mergeCell ref="B34:C35"/>
    <mergeCell ref="B40:C41"/>
    <mergeCell ref="B47:C48"/>
    <mergeCell ref="B45:C46"/>
    <mergeCell ref="B43:C44"/>
    <mergeCell ref="B20:C20"/>
    <mergeCell ref="B255:L255"/>
    <mergeCell ref="B60:L60"/>
    <mergeCell ref="B62:L62"/>
    <mergeCell ref="B64:L64"/>
    <mergeCell ref="B69:L69"/>
    <mergeCell ref="B74:L74"/>
    <mergeCell ref="B79:L79"/>
    <mergeCell ref="B84:L84"/>
    <mergeCell ref="B87:L87"/>
    <mergeCell ref="B89:L89"/>
    <mergeCell ref="B91:L91"/>
    <mergeCell ref="B94:L94"/>
    <mergeCell ref="B99:L99"/>
    <mergeCell ref="B104:L104"/>
    <mergeCell ref="B109:L109"/>
    <mergeCell ref="B112:L112"/>
    <mergeCell ref="B216:L216"/>
    <mergeCell ref="B139:L139"/>
    <mergeCell ref="B186:L186"/>
    <mergeCell ref="B191:L191"/>
    <mergeCell ref="B196:L196"/>
    <mergeCell ref="B201:L201"/>
    <mergeCell ref="B206:L206"/>
    <mergeCell ref="B183:L183"/>
    <mergeCell ref="B144:L144"/>
    <mergeCell ref="B149:L149"/>
    <mergeCell ref="B154:L154"/>
    <mergeCell ref="B159:L159"/>
    <mergeCell ref="B164:L164"/>
    <mergeCell ref="B180:L180"/>
  </mergeCells>
  <phoneticPr fontId="3" type="noConversion"/>
  <conditionalFormatting sqref="J61:K61 J63:K63 J65:K68">
    <cfRule type="containsText" dxfId="155" priority="736" stopIfTrue="1" operator="containsText" text="Not applicable">
      <formula>NOT(ISERROR(SEARCH("Not applicable",J61)))</formula>
    </cfRule>
    <cfRule type="containsText" dxfId="154" priority="737" stopIfTrue="1" operator="containsText" text="Failed">
      <formula>NOT(ISERROR(SEARCH("Failed",J61)))</formula>
    </cfRule>
    <cfRule type="containsText" dxfId="153" priority="738" stopIfTrue="1" operator="containsText" text="Passed">
      <formula>NOT(ISERROR(SEARCH("Passed",J61)))</formula>
    </cfRule>
  </conditionalFormatting>
  <conditionalFormatting sqref="J70:K73">
    <cfRule type="containsText" dxfId="152" priority="37" stopIfTrue="1" operator="containsText" text="Not applicable">
      <formula>NOT(ISERROR(SEARCH("Not applicable",J70)))</formula>
    </cfRule>
    <cfRule type="containsText" dxfId="151" priority="38" stopIfTrue="1" operator="containsText" text="Failed">
      <formula>NOT(ISERROR(SEARCH("Failed",J70)))</formula>
    </cfRule>
    <cfRule type="containsText" dxfId="150" priority="39" stopIfTrue="1" operator="containsText" text="Passed">
      <formula>NOT(ISERROR(SEARCH("Passed",J70)))</formula>
    </cfRule>
  </conditionalFormatting>
  <conditionalFormatting sqref="J75:K78">
    <cfRule type="containsText" dxfId="149" priority="34" stopIfTrue="1" operator="containsText" text="Not applicable">
      <formula>NOT(ISERROR(SEARCH("Not applicable",J75)))</formula>
    </cfRule>
    <cfRule type="containsText" dxfId="148" priority="35" stopIfTrue="1" operator="containsText" text="Failed">
      <formula>NOT(ISERROR(SEARCH("Failed",J75)))</formula>
    </cfRule>
    <cfRule type="containsText" dxfId="147" priority="36" stopIfTrue="1" operator="containsText" text="Passed">
      <formula>NOT(ISERROR(SEARCH("Passed",J75)))</formula>
    </cfRule>
  </conditionalFormatting>
  <conditionalFormatting sqref="J80:K83">
    <cfRule type="containsText" dxfId="146" priority="31" stopIfTrue="1" operator="containsText" text="Not applicable">
      <formula>NOT(ISERROR(SEARCH("Not applicable",J80)))</formula>
    </cfRule>
    <cfRule type="containsText" dxfId="145" priority="32" stopIfTrue="1" operator="containsText" text="Failed">
      <formula>NOT(ISERROR(SEARCH("Failed",J80)))</formula>
    </cfRule>
    <cfRule type="containsText" dxfId="144" priority="33" stopIfTrue="1" operator="containsText" text="Passed">
      <formula>NOT(ISERROR(SEARCH("Passed",J80)))</formula>
    </cfRule>
  </conditionalFormatting>
  <conditionalFormatting sqref="J85:K86">
    <cfRule type="containsText" dxfId="143" priority="409" stopIfTrue="1" operator="containsText" text="Not applicable">
      <formula>NOT(ISERROR(SEARCH("Not applicable",J85)))</formula>
    </cfRule>
    <cfRule type="containsText" dxfId="142" priority="410" stopIfTrue="1" operator="containsText" text="Failed">
      <formula>NOT(ISERROR(SEARCH("Failed",J85)))</formula>
    </cfRule>
    <cfRule type="containsText" dxfId="141" priority="411" stopIfTrue="1" operator="containsText" text="Passed">
      <formula>NOT(ISERROR(SEARCH("Passed",J85)))</formula>
    </cfRule>
  </conditionalFormatting>
  <conditionalFormatting sqref="J88:K88">
    <cfRule type="containsText" dxfId="140" priority="406" stopIfTrue="1" operator="containsText" text="Not applicable">
      <formula>NOT(ISERROR(SEARCH("Not applicable",J88)))</formula>
    </cfRule>
    <cfRule type="containsText" dxfId="139" priority="407" stopIfTrue="1" operator="containsText" text="Failed">
      <formula>NOT(ISERROR(SEARCH("Failed",J88)))</formula>
    </cfRule>
    <cfRule type="containsText" dxfId="138" priority="408" stopIfTrue="1" operator="containsText" text="Passed">
      <formula>NOT(ISERROR(SEARCH("Passed",J88)))</formula>
    </cfRule>
  </conditionalFormatting>
  <conditionalFormatting sqref="J90:K90">
    <cfRule type="containsText" dxfId="137" priority="403" stopIfTrue="1" operator="containsText" text="Not applicable">
      <formula>NOT(ISERROR(SEARCH("Not applicable",J90)))</formula>
    </cfRule>
    <cfRule type="containsText" dxfId="136" priority="404" stopIfTrue="1" operator="containsText" text="Failed">
      <formula>NOT(ISERROR(SEARCH("Failed",J90)))</formula>
    </cfRule>
    <cfRule type="containsText" dxfId="135" priority="405" stopIfTrue="1" operator="containsText" text="Passed">
      <formula>NOT(ISERROR(SEARCH("Passed",J90)))</formula>
    </cfRule>
  </conditionalFormatting>
  <conditionalFormatting sqref="J92:K93">
    <cfRule type="containsText" dxfId="134" priority="397" stopIfTrue="1" operator="containsText" text="Not applicable">
      <formula>NOT(ISERROR(SEARCH("Not applicable",J92)))</formula>
    </cfRule>
    <cfRule type="containsText" dxfId="133" priority="398" stopIfTrue="1" operator="containsText" text="Failed">
      <formula>NOT(ISERROR(SEARCH("Failed",J92)))</formula>
    </cfRule>
    <cfRule type="containsText" dxfId="132" priority="399" stopIfTrue="1" operator="containsText" text="Passed">
      <formula>NOT(ISERROR(SEARCH("Passed",J92)))</formula>
    </cfRule>
  </conditionalFormatting>
  <conditionalFormatting sqref="J95:K98">
    <cfRule type="containsText" dxfId="131" priority="28" stopIfTrue="1" operator="containsText" text="Not applicable">
      <formula>NOT(ISERROR(SEARCH("Not applicable",J95)))</formula>
    </cfRule>
    <cfRule type="containsText" dxfId="130" priority="29" stopIfTrue="1" operator="containsText" text="Failed">
      <formula>NOT(ISERROR(SEARCH("Failed",J95)))</formula>
    </cfRule>
    <cfRule type="containsText" dxfId="129" priority="30" stopIfTrue="1" operator="containsText" text="Passed">
      <formula>NOT(ISERROR(SEARCH("Passed",J95)))</formula>
    </cfRule>
  </conditionalFormatting>
  <conditionalFormatting sqref="J100:K103">
    <cfRule type="containsText" dxfId="128" priority="25" stopIfTrue="1" operator="containsText" text="Not applicable">
      <formula>NOT(ISERROR(SEARCH("Not applicable",J100)))</formula>
    </cfRule>
    <cfRule type="containsText" dxfId="127" priority="26" stopIfTrue="1" operator="containsText" text="Failed">
      <formula>NOT(ISERROR(SEARCH("Failed",J100)))</formula>
    </cfRule>
    <cfRule type="containsText" dxfId="126" priority="27" stopIfTrue="1" operator="containsText" text="Passed">
      <formula>NOT(ISERROR(SEARCH("Passed",J100)))</formula>
    </cfRule>
  </conditionalFormatting>
  <conditionalFormatting sqref="J105:K108">
    <cfRule type="containsText" dxfId="125" priority="22" stopIfTrue="1" operator="containsText" text="Not applicable">
      <formula>NOT(ISERROR(SEARCH("Not applicable",J105)))</formula>
    </cfRule>
    <cfRule type="containsText" dxfId="124" priority="23" stopIfTrue="1" operator="containsText" text="Failed">
      <formula>NOT(ISERROR(SEARCH("Failed",J105)))</formula>
    </cfRule>
    <cfRule type="containsText" dxfId="123" priority="24" stopIfTrue="1" operator="containsText" text="Passed">
      <formula>NOT(ISERROR(SEARCH("Passed",J105)))</formula>
    </cfRule>
  </conditionalFormatting>
  <conditionalFormatting sqref="J110:K111">
    <cfRule type="containsText" dxfId="122" priority="355" stopIfTrue="1" operator="containsText" text="Not applicable">
      <formula>NOT(ISERROR(SEARCH("Not applicable",J110)))</formula>
    </cfRule>
    <cfRule type="containsText" dxfId="121" priority="356" stopIfTrue="1" operator="containsText" text="Failed">
      <formula>NOT(ISERROR(SEARCH("Failed",J110)))</formula>
    </cfRule>
    <cfRule type="containsText" dxfId="120" priority="357" stopIfTrue="1" operator="containsText" text="Passed">
      <formula>NOT(ISERROR(SEARCH("Passed",J110)))</formula>
    </cfRule>
  </conditionalFormatting>
  <conditionalFormatting sqref="J113:K114">
    <cfRule type="containsText" dxfId="119" priority="349" stopIfTrue="1" operator="containsText" text="Not applicable">
      <formula>NOT(ISERROR(SEARCH("Not applicable",J113)))</formula>
    </cfRule>
    <cfRule type="containsText" dxfId="118" priority="350" stopIfTrue="1" operator="containsText" text="Failed">
      <formula>NOT(ISERROR(SEARCH("Failed",J113)))</formula>
    </cfRule>
    <cfRule type="containsText" dxfId="117" priority="351" stopIfTrue="1" operator="containsText" text="Passed">
      <formula>NOT(ISERROR(SEARCH("Passed",J113)))</formula>
    </cfRule>
  </conditionalFormatting>
  <conditionalFormatting sqref="J116:K117">
    <cfRule type="containsText" dxfId="116" priority="343" stopIfTrue="1" operator="containsText" text="Not applicable">
      <formula>NOT(ISERROR(SEARCH("Not applicable",J116)))</formula>
    </cfRule>
    <cfRule type="containsText" dxfId="115" priority="344" stopIfTrue="1" operator="containsText" text="Failed">
      <formula>NOT(ISERROR(SEARCH("Failed",J116)))</formula>
    </cfRule>
    <cfRule type="containsText" dxfId="114" priority="345" stopIfTrue="1" operator="containsText" text="Passed">
      <formula>NOT(ISERROR(SEARCH("Passed",J116)))</formula>
    </cfRule>
  </conditionalFormatting>
  <conditionalFormatting sqref="J119:K120">
    <cfRule type="containsText" dxfId="113" priority="337" stopIfTrue="1" operator="containsText" text="Not applicable">
      <formula>NOT(ISERROR(SEARCH("Not applicable",J119)))</formula>
    </cfRule>
    <cfRule type="containsText" dxfId="112" priority="338" stopIfTrue="1" operator="containsText" text="Failed">
      <formula>NOT(ISERROR(SEARCH("Failed",J119)))</formula>
    </cfRule>
    <cfRule type="containsText" dxfId="111" priority="339" stopIfTrue="1" operator="containsText" text="Passed">
      <formula>NOT(ISERROR(SEARCH("Passed",J119)))</formula>
    </cfRule>
  </conditionalFormatting>
  <conditionalFormatting sqref="J122:K123">
    <cfRule type="containsText" dxfId="110" priority="331" stopIfTrue="1" operator="containsText" text="Not applicable">
      <formula>NOT(ISERROR(SEARCH("Not applicable",J122)))</formula>
    </cfRule>
    <cfRule type="containsText" dxfId="109" priority="332" stopIfTrue="1" operator="containsText" text="Failed">
      <formula>NOT(ISERROR(SEARCH("Failed",J122)))</formula>
    </cfRule>
    <cfRule type="containsText" dxfId="108" priority="333" stopIfTrue="1" operator="containsText" text="Passed">
      <formula>NOT(ISERROR(SEARCH("Passed",J122)))</formula>
    </cfRule>
  </conditionalFormatting>
  <conditionalFormatting sqref="J125:K126">
    <cfRule type="containsText" dxfId="107" priority="325" stopIfTrue="1" operator="containsText" text="Not applicable">
      <formula>NOT(ISERROR(SEARCH("Not applicable",J125)))</formula>
    </cfRule>
    <cfRule type="containsText" dxfId="106" priority="326" stopIfTrue="1" operator="containsText" text="Failed">
      <formula>NOT(ISERROR(SEARCH("Failed",J125)))</formula>
    </cfRule>
    <cfRule type="containsText" dxfId="105" priority="327" stopIfTrue="1" operator="containsText" text="Passed">
      <formula>NOT(ISERROR(SEARCH("Passed",J125)))</formula>
    </cfRule>
  </conditionalFormatting>
  <conditionalFormatting sqref="J128:K129">
    <cfRule type="containsText" dxfId="104" priority="322" stopIfTrue="1" operator="containsText" text="Not applicable">
      <formula>NOT(ISERROR(SEARCH("Not applicable",J128)))</formula>
    </cfRule>
    <cfRule type="containsText" dxfId="103" priority="323" stopIfTrue="1" operator="containsText" text="Failed">
      <formula>NOT(ISERROR(SEARCH("Failed",J128)))</formula>
    </cfRule>
    <cfRule type="containsText" dxfId="102" priority="324" stopIfTrue="1" operator="containsText" text="Passed">
      <formula>NOT(ISERROR(SEARCH("Passed",J128)))</formula>
    </cfRule>
  </conditionalFormatting>
  <conditionalFormatting sqref="J131:K131">
    <cfRule type="containsText" dxfId="101" priority="319" stopIfTrue="1" operator="containsText" text="Not applicable">
      <formula>NOT(ISERROR(SEARCH("Not applicable",J131)))</formula>
    </cfRule>
    <cfRule type="containsText" dxfId="100" priority="320" stopIfTrue="1" operator="containsText" text="Failed">
      <formula>NOT(ISERROR(SEARCH("Failed",J131)))</formula>
    </cfRule>
    <cfRule type="containsText" dxfId="99" priority="321" stopIfTrue="1" operator="containsText" text="Passed">
      <formula>NOT(ISERROR(SEARCH("Passed",J131)))</formula>
    </cfRule>
  </conditionalFormatting>
  <conditionalFormatting sqref="J133:K133">
    <cfRule type="containsText" dxfId="98" priority="316" stopIfTrue="1" operator="containsText" text="Not applicable">
      <formula>NOT(ISERROR(SEARCH("Not applicable",J133)))</formula>
    </cfRule>
    <cfRule type="containsText" dxfId="97" priority="317" stopIfTrue="1" operator="containsText" text="Failed">
      <formula>NOT(ISERROR(SEARCH("Failed",J133)))</formula>
    </cfRule>
    <cfRule type="containsText" dxfId="96" priority="318" stopIfTrue="1" operator="containsText" text="Passed">
      <formula>NOT(ISERROR(SEARCH("Passed",J133)))</formula>
    </cfRule>
  </conditionalFormatting>
  <conditionalFormatting sqref="J135:K138">
    <cfRule type="containsText" dxfId="95" priority="19" stopIfTrue="1" operator="containsText" text="Not applicable">
      <formula>NOT(ISERROR(SEARCH("Not applicable",J135)))</formula>
    </cfRule>
    <cfRule type="containsText" dxfId="94" priority="20" stopIfTrue="1" operator="containsText" text="Failed">
      <formula>NOT(ISERROR(SEARCH("Failed",J135)))</formula>
    </cfRule>
    <cfRule type="containsText" dxfId="93" priority="21" stopIfTrue="1" operator="containsText" text="Passed">
      <formula>NOT(ISERROR(SEARCH("Passed",J135)))</formula>
    </cfRule>
  </conditionalFormatting>
  <conditionalFormatting sqref="J140:K143">
    <cfRule type="containsText" dxfId="92" priority="292" stopIfTrue="1" operator="containsText" text="Not applicable">
      <formula>NOT(ISERROR(SEARCH("Not applicable",J140)))</formula>
    </cfRule>
    <cfRule type="containsText" dxfId="91" priority="293" stopIfTrue="1" operator="containsText" text="Failed">
      <formula>NOT(ISERROR(SEARCH("Failed",J140)))</formula>
    </cfRule>
    <cfRule type="containsText" dxfId="90" priority="294" stopIfTrue="1" operator="containsText" text="Passed">
      <formula>NOT(ISERROR(SEARCH("Passed",J140)))</formula>
    </cfRule>
  </conditionalFormatting>
  <conditionalFormatting sqref="J145:K148">
    <cfRule type="containsText" dxfId="89" priority="16" stopIfTrue="1" operator="containsText" text="Not applicable">
      <formula>NOT(ISERROR(SEARCH("Not applicable",J145)))</formula>
    </cfRule>
    <cfRule type="containsText" dxfId="88" priority="17" stopIfTrue="1" operator="containsText" text="Failed">
      <formula>NOT(ISERROR(SEARCH("Failed",J145)))</formula>
    </cfRule>
    <cfRule type="containsText" dxfId="87" priority="18" stopIfTrue="1" operator="containsText" text="Passed">
      <formula>NOT(ISERROR(SEARCH("Passed",J145)))</formula>
    </cfRule>
  </conditionalFormatting>
  <conditionalFormatting sqref="J150:K153">
    <cfRule type="containsText" dxfId="86" priority="268" stopIfTrue="1" operator="containsText" text="Not applicable">
      <formula>NOT(ISERROR(SEARCH("Not applicable",J150)))</formula>
    </cfRule>
    <cfRule type="containsText" dxfId="85" priority="269" stopIfTrue="1" operator="containsText" text="Failed">
      <formula>NOT(ISERROR(SEARCH("Failed",J150)))</formula>
    </cfRule>
    <cfRule type="containsText" dxfId="84" priority="270" stopIfTrue="1" operator="containsText" text="Passed">
      <formula>NOT(ISERROR(SEARCH("Passed",J150)))</formula>
    </cfRule>
  </conditionalFormatting>
  <conditionalFormatting sqref="J155:K158">
    <cfRule type="containsText" dxfId="83" priority="13" stopIfTrue="1" operator="containsText" text="Not applicable">
      <formula>NOT(ISERROR(SEARCH("Not applicable",J155)))</formula>
    </cfRule>
    <cfRule type="containsText" dxfId="82" priority="14" stopIfTrue="1" operator="containsText" text="Failed">
      <formula>NOT(ISERROR(SEARCH("Failed",J155)))</formula>
    </cfRule>
    <cfRule type="containsText" dxfId="81" priority="15" stopIfTrue="1" operator="containsText" text="Passed">
      <formula>NOT(ISERROR(SEARCH("Passed",J155)))</formula>
    </cfRule>
  </conditionalFormatting>
  <conditionalFormatting sqref="J160:K163">
    <cfRule type="containsText" dxfId="80" priority="244" stopIfTrue="1" operator="containsText" text="Not applicable">
      <formula>NOT(ISERROR(SEARCH("Not applicable",J160)))</formula>
    </cfRule>
    <cfRule type="containsText" dxfId="79" priority="245" stopIfTrue="1" operator="containsText" text="Failed">
      <formula>NOT(ISERROR(SEARCH("Failed",J160)))</formula>
    </cfRule>
    <cfRule type="containsText" dxfId="78" priority="246" stopIfTrue="1" operator="containsText" text="Passed">
      <formula>NOT(ISERROR(SEARCH("Passed",J160)))</formula>
    </cfRule>
  </conditionalFormatting>
  <conditionalFormatting sqref="J165:K168">
    <cfRule type="containsText" dxfId="77" priority="10" stopIfTrue="1" operator="containsText" text="Not applicable">
      <formula>NOT(ISERROR(SEARCH("Not applicable",J165)))</formula>
    </cfRule>
    <cfRule type="containsText" dxfId="76" priority="11" stopIfTrue="1" operator="containsText" text="Failed">
      <formula>NOT(ISERROR(SEARCH("Failed",J165)))</formula>
    </cfRule>
    <cfRule type="containsText" dxfId="75" priority="12" stopIfTrue="1" operator="containsText" text="Passed">
      <formula>NOT(ISERROR(SEARCH("Passed",J165)))</formula>
    </cfRule>
  </conditionalFormatting>
  <conditionalFormatting sqref="J170:K173">
    <cfRule type="containsText" dxfId="74" priority="220" stopIfTrue="1" operator="containsText" text="Not applicable">
      <formula>NOT(ISERROR(SEARCH("Not applicable",J170)))</formula>
    </cfRule>
    <cfRule type="containsText" dxfId="73" priority="221" stopIfTrue="1" operator="containsText" text="Failed">
      <formula>NOT(ISERROR(SEARCH("Failed",J170)))</formula>
    </cfRule>
    <cfRule type="containsText" dxfId="72" priority="222" stopIfTrue="1" operator="containsText" text="Passed">
      <formula>NOT(ISERROR(SEARCH("Passed",J170)))</formula>
    </cfRule>
  </conditionalFormatting>
  <conditionalFormatting sqref="J175:K176">
    <cfRule type="containsText" dxfId="71" priority="214" stopIfTrue="1" operator="containsText" text="Not applicable">
      <formula>NOT(ISERROR(SEARCH("Not applicable",J175)))</formula>
    </cfRule>
    <cfRule type="containsText" dxfId="70" priority="215" stopIfTrue="1" operator="containsText" text="Failed">
      <formula>NOT(ISERROR(SEARCH("Failed",J175)))</formula>
    </cfRule>
    <cfRule type="containsText" dxfId="69" priority="216" stopIfTrue="1" operator="containsText" text="Passed">
      <formula>NOT(ISERROR(SEARCH("Passed",J175)))</formula>
    </cfRule>
  </conditionalFormatting>
  <conditionalFormatting sqref="J178:K179">
    <cfRule type="containsText" dxfId="68" priority="208" stopIfTrue="1" operator="containsText" text="Not applicable">
      <formula>NOT(ISERROR(SEARCH("Not applicable",J178)))</formula>
    </cfRule>
    <cfRule type="containsText" dxfId="67" priority="209" stopIfTrue="1" operator="containsText" text="Failed">
      <formula>NOT(ISERROR(SEARCH("Failed",J178)))</formula>
    </cfRule>
    <cfRule type="containsText" dxfId="66" priority="210" stopIfTrue="1" operator="containsText" text="Passed">
      <formula>NOT(ISERROR(SEARCH("Passed",J178)))</formula>
    </cfRule>
  </conditionalFormatting>
  <conditionalFormatting sqref="J181:K182">
    <cfRule type="containsText" dxfId="65" priority="202" stopIfTrue="1" operator="containsText" text="Not applicable">
      <formula>NOT(ISERROR(SEARCH("Not applicable",J181)))</formula>
    </cfRule>
    <cfRule type="containsText" dxfId="64" priority="203" stopIfTrue="1" operator="containsText" text="Failed">
      <formula>NOT(ISERROR(SEARCH("Failed",J181)))</formula>
    </cfRule>
    <cfRule type="containsText" dxfId="63" priority="204" stopIfTrue="1" operator="containsText" text="Passed">
      <formula>NOT(ISERROR(SEARCH("Passed",J181)))</formula>
    </cfRule>
  </conditionalFormatting>
  <conditionalFormatting sqref="J184:K185">
    <cfRule type="containsText" dxfId="62" priority="196" stopIfTrue="1" operator="containsText" text="Not applicable">
      <formula>NOT(ISERROR(SEARCH("Not applicable",J184)))</formula>
    </cfRule>
    <cfRule type="containsText" dxfId="61" priority="197" stopIfTrue="1" operator="containsText" text="Failed">
      <formula>NOT(ISERROR(SEARCH("Failed",J184)))</formula>
    </cfRule>
    <cfRule type="containsText" dxfId="60" priority="198" stopIfTrue="1" operator="containsText" text="Passed">
      <formula>NOT(ISERROR(SEARCH("Passed",J184)))</formula>
    </cfRule>
  </conditionalFormatting>
  <conditionalFormatting sqref="J187:K190">
    <cfRule type="containsText" dxfId="59" priority="7" stopIfTrue="1" operator="containsText" text="Not applicable">
      <formula>NOT(ISERROR(SEARCH("Not applicable",J187)))</formula>
    </cfRule>
    <cfRule type="containsText" dxfId="58" priority="8" stopIfTrue="1" operator="containsText" text="Failed">
      <formula>NOT(ISERROR(SEARCH("Failed",J187)))</formula>
    </cfRule>
    <cfRule type="containsText" dxfId="57" priority="9" stopIfTrue="1" operator="containsText" text="Passed">
      <formula>NOT(ISERROR(SEARCH("Passed",J187)))</formula>
    </cfRule>
  </conditionalFormatting>
  <conditionalFormatting sqref="J192:K195">
    <cfRule type="containsText" dxfId="56" priority="172" stopIfTrue="1" operator="containsText" text="Not applicable">
      <formula>NOT(ISERROR(SEARCH("Not applicable",J192)))</formula>
    </cfRule>
    <cfRule type="containsText" dxfId="55" priority="173" stopIfTrue="1" operator="containsText" text="Failed">
      <formula>NOT(ISERROR(SEARCH("Failed",J192)))</formula>
    </cfRule>
    <cfRule type="containsText" dxfId="54" priority="174" stopIfTrue="1" operator="containsText" text="Passed">
      <formula>NOT(ISERROR(SEARCH("Passed",J192)))</formula>
    </cfRule>
  </conditionalFormatting>
  <conditionalFormatting sqref="J197:K200">
    <cfRule type="containsText" dxfId="53" priority="4" stopIfTrue="1" operator="containsText" text="Not applicable">
      <formula>NOT(ISERROR(SEARCH("Not applicable",J197)))</formula>
    </cfRule>
    <cfRule type="containsText" dxfId="52" priority="5" stopIfTrue="1" operator="containsText" text="Failed">
      <formula>NOT(ISERROR(SEARCH("Failed",J197)))</formula>
    </cfRule>
    <cfRule type="containsText" dxfId="51" priority="6" stopIfTrue="1" operator="containsText" text="Passed">
      <formula>NOT(ISERROR(SEARCH("Passed",J197)))</formula>
    </cfRule>
  </conditionalFormatting>
  <conditionalFormatting sqref="J202:K205">
    <cfRule type="containsText" dxfId="50" priority="148" stopIfTrue="1" operator="containsText" text="Not applicable">
      <formula>NOT(ISERROR(SEARCH("Not applicable",J202)))</formula>
    </cfRule>
    <cfRule type="containsText" dxfId="49" priority="149" stopIfTrue="1" operator="containsText" text="Failed">
      <formula>NOT(ISERROR(SEARCH("Failed",J202)))</formula>
    </cfRule>
    <cfRule type="containsText" dxfId="48" priority="150" stopIfTrue="1" operator="containsText" text="Passed">
      <formula>NOT(ISERROR(SEARCH("Passed",J202)))</formula>
    </cfRule>
  </conditionalFormatting>
  <conditionalFormatting sqref="J207:K210">
    <cfRule type="containsText" dxfId="47" priority="1" stopIfTrue="1" operator="containsText" text="Not applicable">
      <formula>NOT(ISERROR(SEARCH("Not applicable",J207)))</formula>
    </cfRule>
    <cfRule type="containsText" dxfId="46" priority="2" stopIfTrue="1" operator="containsText" text="Failed">
      <formula>NOT(ISERROR(SEARCH("Failed",J207)))</formula>
    </cfRule>
    <cfRule type="containsText" dxfId="45" priority="3" stopIfTrue="1" operator="containsText" text="Passed">
      <formula>NOT(ISERROR(SEARCH("Passed",J207)))</formula>
    </cfRule>
  </conditionalFormatting>
  <conditionalFormatting sqref="J212:K215">
    <cfRule type="containsText" dxfId="44" priority="124" stopIfTrue="1" operator="containsText" text="Not applicable">
      <formula>NOT(ISERROR(SEARCH("Not applicable",J212)))</formula>
    </cfRule>
    <cfRule type="containsText" dxfId="43" priority="125" stopIfTrue="1" operator="containsText" text="Failed">
      <formula>NOT(ISERROR(SEARCH("Failed",J212)))</formula>
    </cfRule>
    <cfRule type="containsText" dxfId="42" priority="126" stopIfTrue="1" operator="containsText" text="Passed">
      <formula>NOT(ISERROR(SEARCH("Passed",J212)))</formula>
    </cfRule>
  </conditionalFormatting>
  <conditionalFormatting sqref="J217:K218">
    <cfRule type="containsText" dxfId="41" priority="118" stopIfTrue="1" operator="containsText" text="Not applicable">
      <formula>NOT(ISERROR(SEARCH("Not applicable",J217)))</formula>
    </cfRule>
    <cfRule type="containsText" dxfId="40" priority="119" stopIfTrue="1" operator="containsText" text="Failed">
      <formula>NOT(ISERROR(SEARCH("Failed",J217)))</formula>
    </cfRule>
    <cfRule type="containsText" dxfId="39" priority="120" stopIfTrue="1" operator="containsText" text="Passed">
      <formula>NOT(ISERROR(SEARCH("Passed",J217)))</formula>
    </cfRule>
  </conditionalFormatting>
  <conditionalFormatting sqref="J220:K221">
    <cfRule type="containsText" dxfId="38" priority="112" stopIfTrue="1" operator="containsText" text="Not applicable">
      <formula>NOT(ISERROR(SEARCH("Not applicable",J220)))</formula>
    </cfRule>
    <cfRule type="containsText" dxfId="37" priority="113" stopIfTrue="1" operator="containsText" text="Failed">
      <formula>NOT(ISERROR(SEARCH("Failed",J220)))</formula>
    </cfRule>
    <cfRule type="containsText" dxfId="36" priority="114" stopIfTrue="1" operator="containsText" text="Passed">
      <formula>NOT(ISERROR(SEARCH("Passed",J220)))</formula>
    </cfRule>
  </conditionalFormatting>
  <conditionalFormatting sqref="J223:K224">
    <cfRule type="containsText" dxfId="35" priority="106" stopIfTrue="1" operator="containsText" text="Not applicable">
      <formula>NOT(ISERROR(SEARCH("Not applicable",J223)))</formula>
    </cfRule>
    <cfRule type="containsText" dxfId="34" priority="107" stopIfTrue="1" operator="containsText" text="Failed">
      <formula>NOT(ISERROR(SEARCH("Failed",J223)))</formula>
    </cfRule>
    <cfRule type="containsText" dxfId="33" priority="108" stopIfTrue="1" operator="containsText" text="Passed">
      <formula>NOT(ISERROR(SEARCH("Passed",J223)))</formula>
    </cfRule>
  </conditionalFormatting>
  <conditionalFormatting sqref="J226:K227">
    <cfRule type="containsText" dxfId="32" priority="100" stopIfTrue="1" operator="containsText" text="Not applicable">
      <formula>NOT(ISERROR(SEARCH("Not applicable",J226)))</formula>
    </cfRule>
    <cfRule type="containsText" dxfId="31" priority="101" stopIfTrue="1" operator="containsText" text="Failed">
      <formula>NOT(ISERROR(SEARCH("Failed",J226)))</formula>
    </cfRule>
    <cfRule type="containsText" dxfId="30" priority="102" stopIfTrue="1" operator="containsText" text="Passed">
      <formula>NOT(ISERROR(SEARCH("Passed",J226)))</formula>
    </cfRule>
  </conditionalFormatting>
  <conditionalFormatting sqref="J229:K230">
    <cfRule type="containsText" dxfId="29" priority="94" stopIfTrue="1" operator="containsText" text="Not applicable">
      <formula>NOT(ISERROR(SEARCH("Not applicable",J229)))</formula>
    </cfRule>
    <cfRule type="containsText" dxfId="28" priority="95" stopIfTrue="1" operator="containsText" text="Failed">
      <formula>NOT(ISERROR(SEARCH("Failed",J229)))</formula>
    </cfRule>
    <cfRule type="containsText" dxfId="27" priority="96" stopIfTrue="1" operator="containsText" text="Passed">
      <formula>NOT(ISERROR(SEARCH("Passed",J229)))</formula>
    </cfRule>
  </conditionalFormatting>
  <conditionalFormatting sqref="J232:K233">
    <cfRule type="containsText" dxfId="26" priority="88" stopIfTrue="1" operator="containsText" text="Not applicable">
      <formula>NOT(ISERROR(SEARCH("Not applicable",J232)))</formula>
    </cfRule>
    <cfRule type="containsText" dxfId="25" priority="89" stopIfTrue="1" operator="containsText" text="Failed">
      <formula>NOT(ISERROR(SEARCH("Failed",J232)))</formula>
    </cfRule>
    <cfRule type="containsText" dxfId="24" priority="90" stopIfTrue="1" operator="containsText" text="Passed">
      <formula>NOT(ISERROR(SEARCH("Passed",J232)))</formula>
    </cfRule>
  </conditionalFormatting>
  <conditionalFormatting sqref="J235:K236">
    <cfRule type="containsText" dxfId="23" priority="82" stopIfTrue="1" operator="containsText" text="Not applicable">
      <formula>NOT(ISERROR(SEARCH("Not applicable",J235)))</formula>
    </cfRule>
    <cfRule type="containsText" dxfId="22" priority="83" stopIfTrue="1" operator="containsText" text="Failed">
      <formula>NOT(ISERROR(SEARCH("Failed",J235)))</formula>
    </cfRule>
    <cfRule type="containsText" dxfId="21" priority="84" stopIfTrue="1" operator="containsText" text="Passed">
      <formula>NOT(ISERROR(SEARCH("Passed",J235)))</formula>
    </cfRule>
  </conditionalFormatting>
  <conditionalFormatting sqref="J238:K239">
    <cfRule type="containsText" dxfId="20" priority="76" stopIfTrue="1" operator="containsText" text="Not applicable">
      <formula>NOT(ISERROR(SEARCH("Not applicable",J238)))</formula>
    </cfRule>
    <cfRule type="containsText" dxfId="19" priority="77" stopIfTrue="1" operator="containsText" text="Failed">
      <formula>NOT(ISERROR(SEARCH("Failed",J238)))</formula>
    </cfRule>
    <cfRule type="containsText" dxfId="18" priority="78" stopIfTrue="1" operator="containsText" text="Passed">
      <formula>NOT(ISERROR(SEARCH("Passed",J238)))</formula>
    </cfRule>
  </conditionalFormatting>
  <conditionalFormatting sqref="J241:K242">
    <cfRule type="containsText" dxfId="17" priority="70" stopIfTrue="1" operator="containsText" text="Not applicable">
      <formula>NOT(ISERROR(SEARCH("Not applicable",J241)))</formula>
    </cfRule>
    <cfRule type="containsText" dxfId="16" priority="71" stopIfTrue="1" operator="containsText" text="Failed">
      <formula>NOT(ISERROR(SEARCH("Failed",J241)))</formula>
    </cfRule>
    <cfRule type="containsText" dxfId="15" priority="72" stopIfTrue="1" operator="containsText" text="Passed">
      <formula>NOT(ISERROR(SEARCH("Passed",J241)))</formula>
    </cfRule>
  </conditionalFormatting>
  <conditionalFormatting sqref="J244:K245">
    <cfRule type="containsText" dxfId="14" priority="64" stopIfTrue="1" operator="containsText" text="Not applicable">
      <formula>NOT(ISERROR(SEARCH("Not applicable",J244)))</formula>
    </cfRule>
    <cfRule type="containsText" dxfId="13" priority="65" stopIfTrue="1" operator="containsText" text="Failed">
      <formula>NOT(ISERROR(SEARCH("Failed",J244)))</formula>
    </cfRule>
    <cfRule type="containsText" dxfId="12" priority="66" stopIfTrue="1" operator="containsText" text="Passed">
      <formula>NOT(ISERROR(SEARCH("Passed",J244)))</formula>
    </cfRule>
  </conditionalFormatting>
  <conditionalFormatting sqref="J247:K248">
    <cfRule type="containsText" dxfId="11" priority="58" stopIfTrue="1" operator="containsText" text="Not applicable">
      <formula>NOT(ISERROR(SEARCH("Not applicable",J247)))</formula>
    </cfRule>
    <cfRule type="containsText" dxfId="10" priority="59" stopIfTrue="1" operator="containsText" text="Failed">
      <formula>NOT(ISERROR(SEARCH("Failed",J247)))</formula>
    </cfRule>
    <cfRule type="containsText" dxfId="9" priority="60" stopIfTrue="1" operator="containsText" text="Passed">
      <formula>NOT(ISERROR(SEARCH("Passed",J247)))</formula>
    </cfRule>
  </conditionalFormatting>
  <conditionalFormatting sqref="J250:K251">
    <cfRule type="containsText" dxfId="8" priority="52" stopIfTrue="1" operator="containsText" text="Not applicable">
      <formula>NOT(ISERROR(SEARCH("Not applicable",J250)))</formula>
    </cfRule>
    <cfRule type="containsText" dxfId="7" priority="53" stopIfTrue="1" operator="containsText" text="Failed">
      <formula>NOT(ISERROR(SEARCH("Failed",J250)))</formula>
    </cfRule>
    <cfRule type="containsText" dxfId="6" priority="54" stopIfTrue="1" operator="containsText" text="Passed">
      <formula>NOT(ISERROR(SEARCH("Passed",J250)))</formula>
    </cfRule>
  </conditionalFormatting>
  <conditionalFormatting sqref="J253:K254">
    <cfRule type="containsText" dxfId="5" priority="46" stopIfTrue="1" operator="containsText" text="Not applicable">
      <formula>NOT(ISERROR(SEARCH("Not applicable",J253)))</formula>
    </cfRule>
    <cfRule type="containsText" dxfId="4" priority="47" stopIfTrue="1" operator="containsText" text="Failed">
      <formula>NOT(ISERROR(SEARCH("Failed",J253)))</formula>
    </cfRule>
    <cfRule type="containsText" dxfId="3" priority="48" stopIfTrue="1" operator="containsText" text="Passed">
      <formula>NOT(ISERROR(SEARCH("Passed",J253)))</formula>
    </cfRule>
  </conditionalFormatting>
  <conditionalFormatting sqref="J256:K257">
    <cfRule type="containsText" dxfId="2" priority="40" stopIfTrue="1" operator="containsText" text="Not applicable">
      <formula>NOT(ISERROR(SEARCH("Not applicable",J256)))</formula>
    </cfRule>
    <cfRule type="containsText" dxfId="1" priority="41" stopIfTrue="1" operator="containsText" text="Failed">
      <formula>NOT(ISERROR(SEARCH("Failed",J256)))</formula>
    </cfRule>
    <cfRule type="containsText" dxfId="0" priority="42" stopIfTrue="1" operator="containsText" text="Passed">
      <formula>NOT(ISERROR(SEARCH("Passed",J256)))</formula>
    </cfRule>
  </conditionalFormatting>
  <dataValidations xWindow="1288" yWindow="907" count="6">
    <dataValidation type="list" allowBlank="1" showInputMessage="1" showErrorMessage="1" promptTitle="Test verdict" prompt="Pick the verdict from the list. Don't type it manually." sqref="K61 K63 K65:K68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K170:K173 K212:K215 K90 K88 K226:K227 K220:K221 K92:K93 K113:K114 K125:K126 K128:K129 K119:K120 K131 K110:K111 K122:K123 K116:K117 K150:K153 K238:K239 K232:K233 K184:K185 K178:K179 K192:K195 K202:K205 K250:K251 K133 K244:K245 K253:K254 K140:K143 K160:K163 K70:K73 K75:K78 K80:K83 K85:K86 K95:K98 K100:K103 K105:K108 K135:K138 K145:K148 K155:K158 K165:K168 K175:K176 K181:K182 K187:K190 K197:K200 K207:K210 K217:K218 K223:K224 K229:K230 K235:K236 K241:K242 K247:K248 K256:K257" xr:uid="{43F3A6EC-45FA-4F73-B5B6-D2B9AFF00E72}">
      <formula1>"Passed,Failed,Not applicable"</formula1>
    </dataValidation>
    <dataValidation type="list" allowBlank="1" showInputMessage="1" showErrorMessage="1" promptTitle="Usage" prompt="Set to 'yes' if the data point is supported, otherwise set to 'no'." sqref="D17:D23" xr:uid="{E3199165-786E-4CAD-8EDC-E751E654B06F}">
      <formula1>"Yes,No"</formula1>
    </dataValidation>
    <dataValidation type="list" allowBlank="1" showInputMessage="1" showErrorMessage="1" promptTitle="Usage" prompt="Set to 'yes' if the phase is supported, otherwise set to 'no'." sqref="D12:D14" xr:uid="{16E7ECAF-13F4-4407-A113-3075C1012843}">
      <formula1>"Yes,No"</formula1>
    </dataValidation>
    <dataValidation type="list" allowBlank="1" showInputMessage="1" showErrorMessage="1" promptTitle="Usage" prompt="Set to 'yes' if the EventTrigger is supported, otherwise set to 'no'." sqref="D8:D9" xr:uid="{F46461D9-642F-4E07-944E-6F27C5F0E28B}">
      <formula1>"Yes,No"</formula1>
    </dataValidation>
    <dataValidation type="list" allowBlank="1" showInputMessage="1" showErrorMessage="1" sqref="D4:E4" xr:uid="{8DEF0DA2-DF8A-4A6C-9C04-8CCD91A4B717}">
      <formula1>"Monitoring Appliance (MA),Monitored Unit (MU)"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rgb="FFE49EDD"/>
    <pageSetUpPr fitToPage="1"/>
  </sheetPr>
  <dimension ref="A1:BD891"/>
  <sheetViews>
    <sheetView showGridLines="0" zoomScaleNormal="100" zoomScalePageLayoutView="110" workbookViewId="0"/>
  </sheetViews>
  <sheetFormatPr baseColWidth="10" defaultColWidth="14.42578125" defaultRowHeight="15.75" customHeight="1" x14ac:dyDescent="0.2"/>
  <cols>
    <col min="1" max="1" width="3" style="51" customWidth="1"/>
    <col min="2" max="2" width="8.7109375" style="7" customWidth="1"/>
    <col min="3" max="3" width="20.7109375" customWidth="1"/>
    <col min="4" max="4" width="129.4257812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4" customFormat="1" ht="45" customHeight="1" x14ac:dyDescent="0.2">
      <c r="B1" s="148" t="s">
        <v>164</v>
      </c>
      <c r="C1" s="148"/>
      <c r="D1" s="148"/>
      <c r="E1" s="150"/>
      <c r="F1" s="150"/>
      <c r="G1" s="150"/>
      <c r="H1" s="3"/>
      <c r="I1" s="14"/>
      <c r="J1" s="14"/>
      <c r="K1" s="14"/>
      <c r="L1" s="8"/>
      <c r="M1" s="8"/>
      <c r="N1" s="3"/>
      <c r="O1" s="3"/>
      <c r="P1" s="3"/>
      <c r="Q1" s="3"/>
      <c r="R1" s="3"/>
      <c r="S1" s="3"/>
      <c r="T1" s="3"/>
    </row>
    <row r="2" spans="1:56" s="4" customFormat="1" ht="19.5" customHeight="1" x14ac:dyDescent="0.2">
      <c r="B2" s="147"/>
      <c r="C2" s="147"/>
      <c r="D2" s="147"/>
      <c r="E2" s="150"/>
      <c r="F2" s="150"/>
      <c r="G2" s="150"/>
      <c r="H2" s="3"/>
      <c r="I2" s="14"/>
      <c r="J2" s="14"/>
      <c r="K2" s="14"/>
      <c r="L2" s="8"/>
      <c r="M2" s="8"/>
      <c r="N2" s="3"/>
      <c r="O2" s="3"/>
      <c r="P2" s="3"/>
      <c r="Q2" s="3"/>
      <c r="R2" s="3"/>
      <c r="S2" s="3"/>
      <c r="T2" s="3"/>
    </row>
    <row r="3" spans="1:56" ht="22.15" customHeight="1" x14ac:dyDescent="0.2">
      <c r="A3" s="50"/>
      <c r="B3" s="13" t="s">
        <v>0</v>
      </c>
      <c r="C3" s="58" t="s">
        <v>3</v>
      </c>
      <c r="D3" s="151" t="s">
        <v>1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</row>
    <row r="4" spans="1:56" ht="55.15" customHeight="1" x14ac:dyDescent="0.25">
      <c r="A4" s="30"/>
      <c r="B4" s="40"/>
      <c r="C4" s="52"/>
      <c r="D4" s="152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</row>
    <row r="5" spans="1:56" ht="55.15" customHeight="1" x14ac:dyDescent="0.25">
      <c r="A5" s="30"/>
      <c r="B5" s="12"/>
      <c r="C5" s="52"/>
      <c r="D5" s="152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</row>
    <row r="6" spans="1:56" ht="55.15" customHeight="1" x14ac:dyDescent="0.25">
      <c r="A6" s="30"/>
      <c r="B6" s="12"/>
      <c r="C6" s="52"/>
      <c r="D6" s="152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</row>
    <row r="7" spans="1:56" ht="55.15" customHeight="1" x14ac:dyDescent="0.25">
      <c r="A7" s="30"/>
      <c r="B7" s="12"/>
      <c r="C7" s="52"/>
      <c r="D7" s="152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</row>
    <row r="8" spans="1:56" ht="55.15" customHeight="1" x14ac:dyDescent="0.25">
      <c r="A8" s="30"/>
      <c r="B8" s="12"/>
      <c r="C8" s="52"/>
      <c r="D8" s="152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</row>
    <row r="9" spans="1:56" ht="55.15" customHeight="1" x14ac:dyDescent="0.25">
      <c r="A9" s="30"/>
      <c r="B9" s="12"/>
      <c r="C9" s="52"/>
      <c r="D9" s="152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</row>
    <row r="10" spans="1:56" s="51" customFormat="1" ht="12.75" x14ac:dyDescent="0.2">
      <c r="A10" s="50"/>
      <c r="B10" s="53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56" s="51" customFormat="1" ht="12.75" x14ac:dyDescent="0.2">
      <c r="B11" s="54"/>
    </row>
    <row r="12" spans="1:56" s="51" customFormat="1" ht="12.75" x14ac:dyDescent="0.2">
      <c r="A12" s="50"/>
      <c r="B12" s="53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56" s="51" customFormat="1" ht="12.75" x14ac:dyDescent="0.2">
      <c r="A13" s="50"/>
      <c r="B13" s="53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56" s="51" customFormat="1" ht="12.75" x14ac:dyDescent="0.2">
      <c r="A14" s="50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56" s="51" customFormat="1" ht="12.75" x14ac:dyDescent="0.2">
      <c r="A15" s="50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56" s="51" customFormat="1" ht="12.75" x14ac:dyDescent="0.2">
      <c r="A16" s="50"/>
      <c r="B16" s="53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s="51" customFormat="1" ht="12.75" x14ac:dyDescent="0.2">
      <c r="A17" s="50"/>
      <c r="B17" s="53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s="51" customFormat="1" ht="12.75" x14ac:dyDescent="0.2">
      <c r="A18" s="50"/>
      <c r="B18" s="53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r="19" spans="1:17" s="51" customFormat="1" ht="12.75" x14ac:dyDescent="0.2">
      <c r="A19" s="50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s="51" customFormat="1" ht="12.75" x14ac:dyDescent="0.2">
      <c r="A20" s="50"/>
      <c r="B20" s="53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</row>
    <row r="21" spans="1:17" s="51" customFormat="1" ht="12.75" x14ac:dyDescent="0.2">
      <c r="A21" s="50"/>
      <c r="B21" s="53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spans="1:17" s="51" customFormat="1" ht="12.75" x14ac:dyDescent="0.2">
      <c r="A22" s="50"/>
      <c r="B22" s="53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s="51" customFormat="1" ht="12.75" x14ac:dyDescent="0.2">
      <c r="A23" s="50"/>
      <c r="B23" s="53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s="51" customFormat="1" ht="12.75" x14ac:dyDescent="0.2">
      <c r="A24" s="50"/>
      <c r="B24" s="53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s="51" customFormat="1" ht="12.75" x14ac:dyDescent="0.2">
      <c r="A25" s="50"/>
      <c r="B25" s="53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spans="1:17" s="51" customFormat="1" ht="12.75" x14ac:dyDescent="0.2">
      <c r="A26" s="50"/>
      <c r="B26" s="53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17" s="51" customFormat="1" ht="12.75" x14ac:dyDescent="0.2">
      <c r="A27" s="50"/>
      <c r="B27" s="53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spans="1:17" s="51" customFormat="1" ht="12.75" x14ac:dyDescent="0.2">
      <c r="A28" s="50"/>
      <c r="B28" s="53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s="51" customFormat="1" ht="12.75" x14ac:dyDescent="0.2">
      <c r="A29" s="50"/>
      <c r="B29" s="53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</row>
    <row r="30" spans="1:17" s="51" customFormat="1" ht="12.75" x14ac:dyDescent="0.2">
      <c r="A30" s="50"/>
      <c r="B30" s="53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</row>
    <row r="31" spans="1:17" s="51" customFormat="1" ht="12.75" x14ac:dyDescent="0.2">
      <c r="A31" s="50"/>
      <c r="B31" s="53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</row>
    <row r="32" spans="1:17" s="51" customFormat="1" ht="12.75" x14ac:dyDescent="0.2">
      <c r="A32" s="50"/>
      <c r="B32" s="53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s="51" customFormat="1" ht="12.75" x14ac:dyDescent="0.2">
      <c r="A33" s="50"/>
      <c r="B33" s="53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</row>
    <row r="34" spans="1:17" s="51" customFormat="1" ht="12.75" x14ac:dyDescent="0.2">
      <c r="A34" s="50"/>
      <c r="B34" s="53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</row>
    <row r="35" spans="1:17" s="51" customFormat="1" ht="12.75" x14ac:dyDescent="0.2">
      <c r="A35" s="50"/>
      <c r="B35" s="53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</row>
    <row r="36" spans="1:17" s="51" customFormat="1" ht="12.75" x14ac:dyDescent="0.2">
      <c r="A36" s="50"/>
      <c r="B36" s="53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 spans="1:17" s="51" customFormat="1" ht="12.75" x14ac:dyDescent="0.2">
      <c r="A37" s="50"/>
      <c r="B37" s="53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s="51" customFormat="1" ht="12.75" x14ac:dyDescent="0.2">
      <c r="A38" s="50"/>
      <c r="B38" s="53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s="51" customFormat="1" ht="12.75" x14ac:dyDescent="0.2">
      <c r="A39" s="50"/>
      <c r="B39" s="53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</row>
    <row r="40" spans="1:17" s="51" customFormat="1" ht="12.75" x14ac:dyDescent="0.2">
      <c r="A40" s="50"/>
      <c r="B40" s="53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1:17" s="51" customFormat="1" ht="12.75" x14ac:dyDescent="0.2">
      <c r="A41" s="50"/>
      <c r="B41" s="53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r="42" spans="1:17" s="51" customFormat="1" ht="12.75" x14ac:dyDescent="0.2">
      <c r="A42" s="50"/>
      <c r="B42" s="53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s="51" customFormat="1" ht="12.75" x14ac:dyDescent="0.2">
      <c r="A43" s="50"/>
      <c r="B43" s="53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</row>
    <row r="44" spans="1:17" s="51" customFormat="1" ht="12.75" x14ac:dyDescent="0.2">
      <c r="A44" s="50"/>
      <c r="B44" s="53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</row>
    <row r="45" spans="1:17" s="51" customFormat="1" ht="12.75" x14ac:dyDescent="0.2">
      <c r="A45" s="50"/>
      <c r="B45" s="53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</row>
    <row r="46" spans="1:17" s="51" customFormat="1" ht="12.75" x14ac:dyDescent="0.2">
      <c r="A46" s="50"/>
      <c r="B46" s="53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s="51" customFormat="1" ht="12.75" x14ac:dyDescent="0.2">
      <c r="A47" s="50"/>
      <c r="B47" s="53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</row>
    <row r="48" spans="1:17" s="51" customFormat="1" ht="12.75" x14ac:dyDescent="0.2">
      <c r="A48" s="50"/>
      <c r="B48" s="53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</row>
    <row r="49" spans="1:17" s="51" customFormat="1" ht="12.75" x14ac:dyDescent="0.2">
      <c r="A49" s="50"/>
      <c r="B49" s="53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</row>
    <row r="50" spans="1:17" s="51" customFormat="1" ht="12.75" x14ac:dyDescent="0.2">
      <c r="A50" s="50"/>
      <c r="B50" s="53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</row>
    <row r="51" spans="1:17" s="51" customFormat="1" ht="12.75" x14ac:dyDescent="0.2">
      <c r="A51" s="50"/>
      <c r="B51" s="53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</row>
    <row r="52" spans="1:17" s="51" customFormat="1" ht="12.75" x14ac:dyDescent="0.2">
      <c r="A52" s="50"/>
      <c r="B52" s="53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</row>
    <row r="53" spans="1:17" s="51" customFormat="1" ht="12.75" x14ac:dyDescent="0.2">
      <c r="A53" s="50"/>
      <c r="B53" s="53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17" s="51" customFormat="1" ht="12.75" x14ac:dyDescent="0.2">
      <c r="A54" s="50"/>
      <c r="B54" s="53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17" s="51" customFormat="1" ht="12.75" x14ac:dyDescent="0.2">
      <c r="A55" s="50"/>
      <c r="B55" s="53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  <row r="56" spans="1:17" s="51" customFormat="1" ht="12.75" x14ac:dyDescent="0.2">
      <c r="A56" s="50"/>
      <c r="B56" s="53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</row>
    <row r="57" spans="1:17" s="51" customFormat="1" ht="12.75" x14ac:dyDescent="0.2">
      <c r="A57" s="50"/>
      <c r="B57" s="53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</row>
    <row r="58" spans="1:17" s="51" customFormat="1" ht="12.75" x14ac:dyDescent="0.2">
      <c r="A58" s="50"/>
      <c r="B58" s="53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1:17" s="51" customFormat="1" ht="12.75" x14ac:dyDescent="0.2">
      <c r="A59" s="50"/>
      <c r="B59" s="53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</row>
    <row r="60" spans="1:17" s="51" customFormat="1" ht="12.75" x14ac:dyDescent="0.2">
      <c r="A60" s="50"/>
      <c r="B60" s="53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</row>
    <row r="61" spans="1:17" s="51" customFormat="1" ht="12.75" x14ac:dyDescent="0.2">
      <c r="A61" s="50"/>
      <c r="B61" s="53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</row>
    <row r="62" spans="1:17" s="51" customFormat="1" ht="12.75" x14ac:dyDescent="0.2">
      <c r="A62" s="50"/>
      <c r="B62" s="53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</row>
    <row r="63" spans="1:17" s="51" customFormat="1" ht="12.75" x14ac:dyDescent="0.2">
      <c r="A63" s="50"/>
      <c r="B63" s="53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17" s="51" customFormat="1" ht="12.75" x14ac:dyDescent="0.2">
      <c r="A64" s="50"/>
      <c r="B64" s="53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spans="1:17" s="51" customFormat="1" ht="12.75" x14ac:dyDescent="0.2">
      <c r="A65" s="50"/>
      <c r="B65" s="53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</row>
    <row r="66" spans="1:17" s="51" customFormat="1" ht="12.75" x14ac:dyDescent="0.2">
      <c r="A66" s="50"/>
      <c r="B66" s="53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</row>
    <row r="67" spans="1:17" s="51" customFormat="1" ht="12.75" x14ac:dyDescent="0.2">
      <c r="A67" s="50"/>
      <c r="B67" s="53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</row>
    <row r="68" spans="1:17" s="51" customFormat="1" ht="12.75" x14ac:dyDescent="0.2">
      <c r="A68" s="50"/>
      <c r="B68" s="53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spans="1:17" s="51" customFormat="1" ht="12.75" x14ac:dyDescent="0.2">
      <c r="A69" s="50"/>
      <c r="B69" s="53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</row>
    <row r="70" spans="1:17" s="51" customFormat="1" ht="12.75" x14ac:dyDescent="0.2">
      <c r="A70" s="50"/>
      <c r="B70" s="53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</row>
    <row r="71" spans="1:17" s="51" customFormat="1" ht="12.75" x14ac:dyDescent="0.2">
      <c r="A71" s="50"/>
      <c r="B71" s="53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</row>
    <row r="72" spans="1:17" s="51" customFormat="1" ht="12.75" x14ac:dyDescent="0.2">
      <c r="A72" s="50"/>
      <c r="B72" s="53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</row>
    <row r="73" spans="1:17" s="51" customFormat="1" ht="12.75" x14ac:dyDescent="0.2">
      <c r="A73" s="50"/>
      <c r="B73" s="53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</row>
    <row r="74" spans="1:17" s="51" customFormat="1" ht="12.75" x14ac:dyDescent="0.2">
      <c r="A74" s="50"/>
      <c r="B74" s="53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spans="1:17" s="51" customFormat="1" ht="12.75" x14ac:dyDescent="0.2">
      <c r="A75" s="50"/>
      <c r="B75" s="53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</row>
    <row r="76" spans="1:17" s="51" customFormat="1" ht="12.75" x14ac:dyDescent="0.2">
      <c r="A76" s="50"/>
      <c r="B76" s="53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</row>
    <row r="77" spans="1:17" s="51" customFormat="1" ht="12.75" x14ac:dyDescent="0.2">
      <c r="A77" s="50"/>
      <c r="B77" s="53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</row>
    <row r="78" spans="1:17" s="51" customFormat="1" ht="12.75" x14ac:dyDescent="0.2">
      <c r="A78" s="50"/>
      <c r="B78" s="53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</row>
    <row r="79" spans="1:17" s="51" customFormat="1" ht="12.75" x14ac:dyDescent="0.2">
      <c r="A79" s="50"/>
      <c r="B79" s="53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</row>
    <row r="80" spans="1:17" s="51" customFormat="1" ht="12.75" x14ac:dyDescent="0.2">
      <c r="A80" s="50"/>
      <c r="B80" s="53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</row>
    <row r="81" spans="1:17" s="51" customFormat="1" ht="12.75" x14ac:dyDescent="0.2">
      <c r="A81" s="50"/>
      <c r="B81" s="53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</row>
    <row r="82" spans="1:17" s="51" customFormat="1" ht="12.75" x14ac:dyDescent="0.2">
      <c r="A82" s="50"/>
      <c r="B82" s="53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</row>
    <row r="83" spans="1:17" s="51" customFormat="1" ht="12.75" x14ac:dyDescent="0.2">
      <c r="A83" s="50"/>
      <c r="B83" s="53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</row>
    <row r="84" spans="1:17" s="51" customFormat="1" ht="12.75" x14ac:dyDescent="0.2">
      <c r="A84" s="50"/>
      <c r="B84" s="53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</row>
    <row r="85" spans="1:17" s="51" customFormat="1" ht="12.75" x14ac:dyDescent="0.2">
      <c r="A85" s="50"/>
      <c r="B85" s="53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</row>
    <row r="86" spans="1:17" s="51" customFormat="1" ht="12.75" x14ac:dyDescent="0.2">
      <c r="A86" s="50"/>
      <c r="B86" s="53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</row>
    <row r="87" spans="1:17" s="51" customFormat="1" ht="12.75" x14ac:dyDescent="0.2">
      <c r="A87" s="50"/>
      <c r="B87" s="53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</row>
    <row r="88" spans="1:17" s="51" customFormat="1" ht="12.75" x14ac:dyDescent="0.2">
      <c r="A88" s="50"/>
      <c r="B88" s="53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</row>
    <row r="89" spans="1:17" s="51" customFormat="1" ht="12.75" x14ac:dyDescent="0.2">
      <c r="A89" s="50"/>
      <c r="B89" s="53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</row>
    <row r="90" spans="1:17" s="51" customFormat="1" ht="12.75" x14ac:dyDescent="0.2">
      <c r="A90" s="50"/>
      <c r="B90" s="53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</row>
    <row r="91" spans="1:17" s="51" customFormat="1" ht="12.75" x14ac:dyDescent="0.2">
      <c r="A91" s="50"/>
      <c r="B91" s="53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</row>
    <row r="92" spans="1:17" s="51" customFormat="1" ht="12.75" x14ac:dyDescent="0.2">
      <c r="A92" s="50"/>
      <c r="B92" s="53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spans="1:17" s="51" customFormat="1" ht="12.75" x14ac:dyDescent="0.2">
      <c r="A93" s="50"/>
      <c r="B93" s="53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</row>
    <row r="94" spans="1:17" s="51" customFormat="1" ht="12.75" x14ac:dyDescent="0.2">
      <c r="A94" s="50"/>
      <c r="B94" s="53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</row>
    <row r="95" spans="1:17" s="51" customFormat="1" ht="12.75" x14ac:dyDescent="0.2">
      <c r="A95" s="50"/>
      <c r="B95" s="53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</row>
    <row r="96" spans="1:17" s="51" customFormat="1" ht="12.75" x14ac:dyDescent="0.2">
      <c r="A96" s="50"/>
      <c r="B96" s="53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17" s="51" customFormat="1" ht="12.75" x14ac:dyDescent="0.2">
      <c r="A97" s="50"/>
      <c r="B97" s="53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</row>
    <row r="98" spans="1:17" s="51" customFormat="1" ht="12.75" x14ac:dyDescent="0.2">
      <c r="A98" s="50"/>
      <c r="B98" s="53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</row>
    <row r="99" spans="1:17" s="51" customFormat="1" ht="12.75" x14ac:dyDescent="0.2">
      <c r="A99" s="50"/>
      <c r="B99" s="53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</row>
    <row r="100" spans="1:17" s="51" customFormat="1" ht="12.75" x14ac:dyDescent="0.2">
      <c r="A100" s="50"/>
      <c r="B100" s="53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</row>
    <row r="101" spans="1:17" s="51" customFormat="1" ht="12.75" x14ac:dyDescent="0.2">
      <c r="A101" s="50"/>
      <c r="B101" s="53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</row>
    <row r="102" spans="1:17" s="51" customFormat="1" ht="12.75" x14ac:dyDescent="0.2">
      <c r="A102" s="50"/>
      <c r="B102" s="53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spans="1:17" s="51" customFormat="1" ht="12.75" x14ac:dyDescent="0.2">
      <c r="A103" s="50"/>
      <c r="B103" s="53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</row>
    <row r="104" spans="1:17" s="51" customFormat="1" ht="12.75" x14ac:dyDescent="0.2">
      <c r="A104" s="50"/>
      <c r="B104" s="53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</row>
    <row r="105" spans="1:17" s="51" customFormat="1" ht="12.75" x14ac:dyDescent="0.2">
      <c r="A105" s="50"/>
      <c r="B105" s="53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</row>
    <row r="106" spans="1:17" s="51" customFormat="1" ht="12.75" x14ac:dyDescent="0.2">
      <c r="A106" s="50"/>
      <c r="B106" s="53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spans="1:17" s="51" customFormat="1" ht="12.75" x14ac:dyDescent="0.2">
      <c r="A107" s="50"/>
      <c r="B107" s="53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</row>
    <row r="108" spans="1:17" s="51" customFormat="1" ht="12.75" x14ac:dyDescent="0.2">
      <c r="A108" s="50"/>
      <c r="B108" s="53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</row>
    <row r="109" spans="1:17" s="51" customFormat="1" ht="12.75" x14ac:dyDescent="0.2">
      <c r="A109" s="50"/>
      <c r="B109" s="53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</row>
    <row r="110" spans="1:17" s="51" customFormat="1" ht="12.75" x14ac:dyDescent="0.2">
      <c r="A110" s="50"/>
      <c r="B110" s="53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</row>
    <row r="111" spans="1:17" s="51" customFormat="1" ht="12.75" x14ac:dyDescent="0.2">
      <c r="A111" s="50"/>
      <c r="B111" s="53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</row>
    <row r="112" spans="1:17" s="51" customFormat="1" ht="12.75" x14ac:dyDescent="0.2">
      <c r="A112" s="50"/>
      <c r="B112" s="53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</row>
    <row r="113" spans="1:17" s="51" customFormat="1" ht="12.75" x14ac:dyDescent="0.2">
      <c r="A113" s="50"/>
      <c r="B113" s="53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</row>
    <row r="114" spans="1:17" s="51" customFormat="1" ht="12.75" x14ac:dyDescent="0.2">
      <c r="A114" s="50"/>
      <c r="B114" s="53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</row>
    <row r="115" spans="1:17" s="51" customFormat="1" ht="12.75" x14ac:dyDescent="0.2">
      <c r="A115" s="50"/>
      <c r="B115" s="53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spans="1:17" s="51" customFormat="1" ht="12.75" x14ac:dyDescent="0.2">
      <c r="A116" s="50"/>
      <c r="B116" s="53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</row>
    <row r="117" spans="1:17" s="51" customFormat="1" ht="12.75" x14ac:dyDescent="0.2">
      <c r="A117" s="50"/>
      <c r="B117" s="53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</row>
    <row r="118" spans="1:17" s="51" customFormat="1" ht="12.75" x14ac:dyDescent="0.2">
      <c r="A118" s="50"/>
      <c r="B118" s="53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</row>
    <row r="119" spans="1:17" s="51" customFormat="1" ht="12.75" x14ac:dyDescent="0.2">
      <c r="A119" s="50"/>
      <c r="B119" s="53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</row>
    <row r="120" spans="1:17" s="51" customFormat="1" ht="12.75" x14ac:dyDescent="0.2">
      <c r="A120" s="50"/>
      <c r="B120" s="53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</row>
    <row r="121" spans="1:17" s="51" customFormat="1" ht="12.75" x14ac:dyDescent="0.2">
      <c r="A121" s="50"/>
      <c r="B121" s="53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</row>
    <row r="122" spans="1:17" s="51" customFormat="1" ht="12.75" x14ac:dyDescent="0.2">
      <c r="A122" s="50"/>
      <c r="B122" s="53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</row>
    <row r="123" spans="1:17" s="51" customFormat="1" ht="12.75" x14ac:dyDescent="0.2">
      <c r="A123" s="50"/>
      <c r="B123" s="53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</row>
    <row r="124" spans="1:17" s="51" customFormat="1" ht="12.75" x14ac:dyDescent="0.2">
      <c r="A124" s="50"/>
      <c r="B124" s="53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spans="1:17" s="51" customFormat="1" ht="12.75" x14ac:dyDescent="0.2">
      <c r="A125" s="50"/>
      <c r="B125" s="53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1:17" s="51" customFormat="1" ht="12.75" x14ac:dyDescent="0.2">
      <c r="A126" s="50"/>
      <c r="B126" s="53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</row>
    <row r="127" spans="1:17" s="51" customFormat="1" ht="12.75" x14ac:dyDescent="0.2">
      <c r="A127" s="50"/>
      <c r="B127" s="53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</row>
    <row r="128" spans="1:17" s="51" customFormat="1" ht="12.75" x14ac:dyDescent="0.2">
      <c r="A128" s="50"/>
      <c r="B128" s="53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</row>
    <row r="129" spans="1:17" s="51" customFormat="1" ht="12.75" x14ac:dyDescent="0.2">
      <c r="A129" s="50"/>
      <c r="B129" s="53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</row>
    <row r="130" spans="1:17" s="51" customFormat="1" ht="12.75" x14ac:dyDescent="0.2">
      <c r="A130" s="50"/>
      <c r="B130" s="53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</row>
    <row r="131" spans="1:17" s="51" customFormat="1" ht="12.75" x14ac:dyDescent="0.2">
      <c r="A131" s="50"/>
      <c r="B131" s="53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</row>
    <row r="132" spans="1:17" s="51" customFormat="1" ht="12.75" x14ac:dyDescent="0.2">
      <c r="A132" s="50"/>
      <c r="B132" s="53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</row>
    <row r="133" spans="1:17" s="51" customFormat="1" ht="12.75" x14ac:dyDescent="0.2">
      <c r="A133" s="50"/>
      <c r="B133" s="53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</row>
    <row r="134" spans="1:17" s="51" customFormat="1" ht="12.75" x14ac:dyDescent="0.2">
      <c r="A134" s="50"/>
      <c r="B134" s="53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</row>
    <row r="135" spans="1:17" s="51" customFormat="1" ht="12.75" x14ac:dyDescent="0.2">
      <c r="A135" s="50"/>
      <c r="B135" s="53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</row>
    <row r="136" spans="1:17" s="51" customFormat="1" ht="12.75" x14ac:dyDescent="0.2">
      <c r="A136" s="50"/>
      <c r="B136" s="53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</row>
    <row r="137" spans="1:17" s="51" customFormat="1" ht="12.75" x14ac:dyDescent="0.2">
      <c r="A137" s="50"/>
      <c r="B137" s="53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</row>
    <row r="138" spans="1:17" s="51" customFormat="1" ht="12.75" x14ac:dyDescent="0.2">
      <c r="A138" s="50"/>
      <c r="B138" s="53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</row>
    <row r="139" spans="1:17" s="51" customFormat="1" ht="12.75" x14ac:dyDescent="0.2">
      <c r="A139" s="50"/>
      <c r="B139" s="53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</row>
    <row r="140" spans="1:17" s="51" customFormat="1" ht="12.75" x14ac:dyDescent="0.2">
      <c r="A140" s="50"/>
      <c r="B140" s="53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</row>
    <row r="141" spans="1:17" s="51" customFormat="1" ht="12.75" x14ac:dyDescent="0.2">
      <c r="A141" s="50"/>
      <c r="B141" s="53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</row>
    <row r="142" spans="1:17" s="51" customFormat="1" ht="12.75" x14ac:dyDescent="0.2">
      <c r="A142" s="50"/>
      <c r="B142" s="53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</row>
    <row r="143" spans="1:17" s="51" customFormat="1" ht="12.75" x14ac:dyDescent="0.2">
      <c r="A143" s="50"/>
      <c r="B143" s="53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</row>
    <row r="144" spans="1:17" s="51" customFormat="1" ht="12.75" x14ac:dyDescent="0.2">
      <c r="A144" s="50"/>
      <c r="B144" s="53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</row>
    <row r="145" spans="1:17" s="51" customFormat="1" ht="12.75" x14ac:dyDescent="0.2">
      <c r="A145" s="50"/>
      <c r="B145" s="53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</row>
    <row r="146" spans="1:17" s="51" customFormat="1" ht="12.75" x14ac:dyDescent="0.2">
      <c r="A146" s="50"/>
      <c r="B146" s="53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</row>
    <row r="147" spans="1:17" s="51" customFormat="1" ht="12.75" x14ac:dyDescent="0.2">
      <c r="A147" s="50"/>
      <c r="B147" s="53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</row>
    <row r="148" spans="1:17" s="51" customFormat="1" ht="12.75" x14ac:dyDescent="0.2">
      <c r="A148" s="50"/>
      <c r="B148" s="53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</row>
    <row r="149" spans="1:17" s="51" customFormat="1" ht="12.75" x14ac:dyDescent="0.2">
      <c r="A149" s="50"/>
      <c r="B149" s="53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</row>
    <row r="150" spans="1:17" s="51" customFormat="1" ht="12.75" x14ac:dyDescent="0.2">
      <c r="A150" s="50"/>
      <c r="B150" s="53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</row>
    <row r="151" spans="1:17" s="51" customFormat="1" ht="12.75" x14ac:dyDescent="0.2">
      <c r="A151" s="50"/>
      <c r="B151" s="53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s="51" customFormat="1" ht="12.75" x14ac:dyDescent="0.2">
      <c r="A152" s="50"/>
      <c r="B152" s="53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s="51" customFormat="1" ht="12.75" x14ac:dyDescent="0.2">
      <c r="A153" s="50"/>
      <c r="B153" s="53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s="51" customFormat="1" ht="12.75" x14ac:dyDescent="0.2">
      <c r="A154" s="50"/>
      <c r="B154" s="53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s="51" customFormat="1" ht="12.75" x14ac:dyDescent="0.2">
      <c r="A155" s="50"/>
      <c r="B155" s="53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s="51" customFormat="1" ht="12.75" x14ac:dyDescent="0.2">
      <c r="A156" s="50"/>
      <c r="B156" s="53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s="51" customFormat="1" ht="12.75" x14ac:dyDescent="0.2">
      <c r="A157" s="50"/>
      <c r="B157" s="53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</row>
    <row r="158" spans="1:17" s="51" customFormat="1" ht="12.75" x14ac:dyDescent="0.2">
      <c r="A158" s="50"/>
      <c r="B158" s="53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</row>
    <row r="159" spans="1:17" s="51" customFormat="1" ht="12.75" x14ac:dyDescent="0.2">
      <c r="A159" s="50"/>
      <c r="B159" s="53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</row>
    <row r="160" spans="1:17" s="51" customFormat="1" ht="12.75" x14ac:dyDescent="0.2">
      <c r="A160" s="50"/>
      <c r="B160" s="53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</row>
    <row r="161" spans="1:17" s="51" customFormat="1" ht="12.75" x14ac:dyDescent="0.2">
      <c r="A161" s="50"/>
      <c r="B161" s="53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s="51" customFormat="1" ht="12.75" x14ac:dyDescent="0.2">
      <c r="A162" s="50"/>
      <c r="B162" s="53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s="51" customFormat="1" ht="12.75" x14ac:dyDescent="0.2">
      <c r="A163" s="50"/>
      <c r="B163" s="53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</row>
    <row r="164" spans="1:17" s="51" customFormat="1" ht="12.75" x14ac:dyDescent="0.2">
      <c r="A164" s="50"/>
      <c r="B164" s="53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</row>
    <row r="165" spans="1:17" s="51" customFormat="1" ht="12.75" x14ac:dyDescent="0.2">
      <c r="A165" s="50"/>
      <c r="B165" s="53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</row>
    <row r="166" spans="1:17" s="51" customFormat="1" ht="12.75" x14ac:dyDescent="0.2">
      <c r="A166" s="50"/>
      <c r="B166" s="53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</row>
    <row r="167" spans="1:17" s="51" customFormat="1" ht="12.75" x14ac:dyDescent="0.2">
      <c r="A167" s="50"/>
      <c r="B167" s="53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</row>
    <row r="168" spans="1:17" s="51" customFormat="1" ht="12.75" x14ac:dyDescent="0.2">
      <c r="A168" s="50"/>
      <c r="B168" s="53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s="51" customFormat="1" ht="12.75" x14ac:dyDescent="0.2">
      <c r="A169" s="50"/>
      <c r="B169" s="53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s="51" customFormat="1" ht="12.75" x14ac:dyDescent="0.2">
      <c r="A170" s="50"/>
      <c r="B170" s="53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</row>
    <row r="171" spans="1:17" s="51" customFormat="1" ht="12.75" x14ac:dyDescent="0.2">
      <c r="A171" s="50"/>
      <c r="B171" s="53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17" s="51" customFormat="1" ht="12.75" x14ac:dyDescent="0.2">
      <c r="A172" s="50"/>
      <c r="B172" s="53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</row>
    <row r="173" spans="1:17" s="51" customFormat="1" ht="12.75" x14ac:dyDescent="0.2">
      <c r="A173" s="50"/>
      <c r="B173" s="53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s="51" customFormat="1" ht="12.75" x14ac:dyDescent="0.2">
      <c r="A174" s="50"/>
      <c r="B174" s="53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</row>
    <row r="175" spans="1:17" s="51" customFormat="1" ht="12.75" x14ac:dyDescent="0.2">
      <c r="A175" s="50"/>
      <c r="B175" s="53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</row>
    <row r="176" spans="1:17" s="51" customFormat="1" ht="12.75" x14ac:dyDescent="0.2">
      <c r="A176" s="50"/>
      <c r="B176" s="53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</row>
    <row r="177" spans="1:17" s="51" customFormat="1" ht="12.75" x14ac:dyDescent="0.2">
      <c r="A177" s="50"/>
      <c r="B177" s="53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</row>
    <row r="178" spans="1:17" s="51" customFormat="1" ht="12.75" x14ac:dyDescent="0.2">
      <c r="A178" s="50"/>
      <c r="B178" s="53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</row>
    <row r="179" spans="1:17" s="51" customFormat="1" ht="12.75" x14ac:dyDescent="0.2">
      <c r="A179" s="50"/>
      <c r="B179" s="53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</row>
    <row r="180" spans="1:17" s="51" customFormat="1" ht="12.75" x14ac:dyDescent="0.2">
      <c r="A180" s="50"/>
      <c r="B180" s="53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</row>
    <row r="181" spans="1:17" s="51" customFormat="1" ht="12.75" x14ac:dyDescent="0.2">
      <c r="A181" s="50"/>
      <c r="B181" s="53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</row>
    <row r="182" spans="1:17" s="51" customFormat="1" ht="12.75" x14ac:dyDescent="0.2">
      <c r="A182" s="50"/>
      <c r="B182" s="53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</row>
    <row r="183" spans="1:17" s="51" customFormat="1" ht="12.75" x14ac:dyDescent="0.2">
      <c r="A183" s="50"/>
      <c r="B183" s="53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</row>
    <row r="184" spans="1:17" s="51" customFormat="1" ht="12.75" x14ac:dyDescent="0.2">
      <c r="A184" s="50"/>
      <c r="B184" s="53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</row>
    <row r="185" spans="1:17" s="51" customFormat="1" ht="12.75" x14ac:dyDescent="0.2">
      <c r="A185" s="50"/>
      <c r="B185" s="53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</row>
    <row r="186" spans="1:17" s="51" customFormat="1" ht="12.75" x14ac:dyDescent="0.2">
      <c r="A186" s="50"/>
      <c r="B186" s="53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</row>
    <row r="187" spans="1:17" s="51" customFormat="1" ht="12.75" x14ac:dyDescent="0.2">
      <c r="A187" s="50"/>
      <c r="B187" s="53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</row>
    <row r="188" spans="1:17" s="51" customFormat="1" ht="12.75" x14ac:dyDescent="0.2">
      <c r="A188" s="50"/>
      <c r="B188" s="53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</row>
    <row r="189" spans="1:17" s="51" customFormat="1" ht="12.75" x14ac:dyDescent="0.2">
      <c r="A189" s="50"/>
      <c r="B189" s="53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</row>
    <row r="190" spans="1:17" s="51" customFormat="1" ht="12.75" x14ac:dyDescent="0.2">
      <c r="A190" s="50"/>
      <c r="B190" s="53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</row>
    <row r="191" spans="1:17" s="51" customFormat="1" ht="12.75" x14ac:dyDescent="0.2">
      <c r="A191" s="50"/>
      <c r="B191" s="53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</row>
    <row r="192" spans="1:17" s="51" customFormat="1" ht="12.75" x14ac:dyDescent="0.2">
      <c r="A192" s="50"/>
      <c r="B192" s="53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1:17" s="51" customFormat="1" ht="12.75" x14ac:dyDescent="0.2">
      <c r="A193" s="50"/>
      <c r="B193" s="53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</row>
    <row r="194" spans="1:17" s="51" customFormat="1" ht="12.75" x14ac:dyDescent="0.2">
      <c r="A194" s="50"/>
      <c r="B194" s="53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</row>
    <row r="195" spans="1:17" s="51" customFormat="1" ht="12.75" x14ac:dyDescent="0.2">
      <c r="A195" s="50"/>
      <c r="B195" s="53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</row>
    <row r="196" spans="1:17" s="51" customFormat="1" ht="12.75" x14ac:dyDescent="0.2">
      <c r="A196" s="50"/>
      <c r="B196" s="53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</row>
    <row r="197" spans="1:17" s="51" customFormat="1" ht="12.75" x14ac:dyDescent="0.2">
      <c r="A197" s="50"/>
      <c r="B197" s="53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</row>
    <row r="198" spans="1:17" s="51" customFormat="1" ht="12.75" x14ac:dyDescent="0.2">
      <c r="A198" s="50"/>
      <c r="B198" s="53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</row>
    <row r="199" spans="1:17" s="51" customFormat="1" ht="12.75" x14ac:dyDescent="0.2">
      <c r="A199" s="50"/>
      <c r="B199" s="53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</row>
    <row r="200" spans="1:17" s="51" customFormat="1" ht="12.75" x14ac:dyDescent="0.2">
      <c r="A200" s="50"/>
      <c r="B200" s="53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</row>
    <row r="201" spans="1:17" s="51" customFormat="1" ht="12.75" x14ac:dyDescent="0.2">
      <c r="A201" s="50"/>
      <c r="B201" s="53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</row>
    <row r="202" spans="1:17" s="51" customFormat="1" ht="12.75" x14ac:dyDescent="0.2">
      <c r="A202" s="50"/>
      <c r="B202" s="53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</row>
    <row r="203" spans="1:17" s="51" customFormat="1" ht="12.75" x14ac:dyDescent="0.2">
      <c r="A203" s="50"/>
      <c r="B203" s="53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</row>
    <row r="204" spans="1:17" s="51" customFormat="1" ht="12.75" x14ac:dyDescent="0.2">
      <c r="A204" s="50"/>
      <c r="B204" s="53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</row>
    <row r="205" spans="1:17" s="51" customFormat="1" ht="12.75" x14ac:dyDescent="0.2">
      <c r="A205" s="50"/>
      <c r="B205" s="53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</row>
    <row r="206" spans="1:17" s="51" customFormat="1" ht="12.75" x14ac:dyDescent="0.2">
      <c r="A206" s="50"/>
      <c r="B206" s="53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</row>
    <row r="207" spans="1:17" s="51" customFormat="1" ht="12.75" x14ac:dyDescent="0.2">
      <c r="A207" s="50"/>
      <c r="B207" s="53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</row>
    <row r="208" spans="1:17" s="51" customFormat="1" ht="12.75" x14ac:dyDescent="0.2">
      <c r="A208" s="50"/>
      <c r="B208" s="53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s="51" customFormat="1" ht="12.75" x14ac:dyDescent="0.2">
      <c r="A209" s="50"/>
      <c r="B209" s="53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s="51" customFormat="1" ht="12.75" x14ac:dyDescent="0.2">
      <c r="A210" s="50"/>
      <c r="B210" s="53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s="51" customFormat="1" ht="12.75" x14ac:dyDescent="0.2">
      <c r="A211" s="50"/>
      <c r="B211" s="53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s="51" customFormat="1" ht="12.75" x14ac:dyDescent="0.2">
      <c r="A212" s="50"/>
      <c r="B212" s="53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s="51" customFormat="1" ht="12.75" x14ac:dyDescent="0.2">
      <c r="A213" s="50"/>
      <c r="B213" s="53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s="51" customFormat="1" ht="12.75" x14ac:dyDescent="0.2">
      <c r="A214" s="50"/>
      <c r="B214" s="53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s="51" customFormat="1" ht="12.75" x14ac:dyDescent="0.2">
      <c r="A215" s="50"/>
      <c r="B215" s="53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s="51" customFormat="1" ht="12.75" x14ac:dyDescent="0.2">
      <c r="A216" s="50"/>
      <c r="B216" s="53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s="51" customFormat="1" ht="12.75" x14ac:dyDescent="0.2">
      <c r="A217" s="50"/>
      <c r="B217" s="53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ht="12.75" x14ac:dyDescent="0.2">
      <c r="A218" s="50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50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50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50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50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50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50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50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50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50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50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50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50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50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50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50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50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50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50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50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50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50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50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50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50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50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50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50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50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50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50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50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50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50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50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50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50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50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50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50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50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50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50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50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50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50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50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50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50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50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50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50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50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50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50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50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50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50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50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50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50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50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50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50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50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50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50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50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50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50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50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50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50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50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50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50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50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50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50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50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50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50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50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50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50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50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50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50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50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50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50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50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50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50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50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50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50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50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50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50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50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50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50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50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50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50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50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50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50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50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50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50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50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50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50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50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50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50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50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50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50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50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50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50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50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50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50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50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50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50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50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50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50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50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50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50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50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50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50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50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50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50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50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50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50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50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50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50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50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50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50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50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50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50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50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50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50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50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50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50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50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50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50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50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50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50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50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50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50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50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50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50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50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50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50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50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50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50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50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50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50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50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50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50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50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50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50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50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50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50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50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50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50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50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50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50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50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50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50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50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50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50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50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50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50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50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50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50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50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50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50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50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50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50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50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50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50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50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50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50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50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50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50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50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50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50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50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50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50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50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50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50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50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50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50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50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50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50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50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50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50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50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50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50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50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50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50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50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50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50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50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50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50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50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50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50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50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50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50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50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50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50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50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50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50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50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50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50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50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50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50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50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50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50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50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50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50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50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50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50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50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50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50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50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50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50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50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50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50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50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50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50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50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50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50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50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50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50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50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50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50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50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50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50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50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50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50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50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50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50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50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50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50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50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50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50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50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50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50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50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50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50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50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50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50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50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50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50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50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50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50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50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50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50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50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50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50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50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50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50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50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50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50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50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50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50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50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50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50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50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50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50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50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50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50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50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50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50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50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50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50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50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50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50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50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50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50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50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50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50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50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50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50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50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50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50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50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50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50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50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50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50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50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50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50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50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50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50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50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50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50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50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50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50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50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50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50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50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50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50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50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50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50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50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50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50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50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50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50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50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50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50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50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50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50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50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50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50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50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50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50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50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50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50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50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50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50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50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50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50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50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50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50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50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50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50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50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50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50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50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50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50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50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50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50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50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50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50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50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50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50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50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50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50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50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50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50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50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50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50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50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50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50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50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50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50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50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50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50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50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50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50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50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50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50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50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50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50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50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50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50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50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50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50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50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50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50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50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50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50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50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50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50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50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50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50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50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50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50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50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50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50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50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50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50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50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50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50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50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50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50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50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50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50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50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50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50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50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50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50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50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50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50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50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50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50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50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50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50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50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50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50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50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50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50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50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50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50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50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50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50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50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50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50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50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50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50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50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50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50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50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50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50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50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50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50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50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50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50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50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50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50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50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50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50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50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50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50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50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50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50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50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50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50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50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50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50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50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50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50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50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50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50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50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50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50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50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50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50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50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50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50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50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50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50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50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50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50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50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50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50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50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50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50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50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50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50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50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50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50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50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50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50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50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50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50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50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50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50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50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50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50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50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50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50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50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50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50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50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50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50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50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50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50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50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50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50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50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50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50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50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50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50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50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50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50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50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50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50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50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50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50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50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50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50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50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50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50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50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50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50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50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50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50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50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50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50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50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50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50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50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50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50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2.75" x14ac:dyDescent="0.2">
      <c r="A891" s="50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</sheetData>
  <mergeCells count="1">
    <mergeCell ref="B1:D1"/>
  </mergeCells>
  <printOptions horizontalCentered="1"/>
  <pageMargins left="0.3" right="0.3" top="0.3" bottom="0.3" header="0" footer="0"/>
  <pageSetup scale="55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BA07-8E46-4427-ABD3-692FD337977F}">
  <sheetPr>
    <tabColor rgb="FFB5E6A2"/>
  </sheetPr>
  <dimension ref="B1:T43"/>
  <sheetViews>
    <sheetView workbookViewId="0"/>
  </sheetViews>
  <sheetFormatPr baseColWidth="10" defaultColWidth="11.42578125" defaultRowHeight="12.75" x14ac:dyDescent="0.2"/>
  <cols>
    <col min="1" max="1" width="3" style="43" customWidth="1"/>
    <col min="2" max="2" width="8.7109375" style="43" customWidth="1"/>
    <col min="3" max="3" width="20.7109375" style="43" customWidth="1"/>
    <col min="4" max="4" width="40.7109375" style="43" customWidth="1"/>
    <col min="5" max="5" width="71.7109375" style="43" customWidth="1"/>
    <col min="6" max="6" width="18.7109375" style="43" customWidth="1"/>
    <col min="7" max="7" width="37.7109375" style="43" customWidth="1"/>
    <col min="8" max="8" width="91.7109375" style="43" customWidth="1"/>
    <col min="9" max="9" width="15.140625" style="43" bestFit="1" customWidth="1"/>
    <col min="10" max="10" width="17.140625" style="43" bestFit="1" customWidth="1"/>
    <col min="11" max="16384" width="11.42578125" style="43"/>
  </cols>
  <sheetData>
    <row r="1" spans="2:20" s="4" customFormat="1" ht="45" customHeight="1" x14ac:dyDescent="0.2">
      <c r="B1" s="148" t="s">
        <v>161</v>
      </c>
      <c r="C1" s="148"/>
      <c r="D1" s="148"/>
      <c r="E1" s="148"/>
      <c r="F1" s="3"/>
      <c r="G1" s="3"/>
      <c r="H1" s="3"/>
      <c r="I1" s="14"/>
      <c r="J1" s="14"/>
      <c r="K1" s="14"/>
      <c r="L1" s="8"/>
      <c r="M1" s="8"/>
      <c r="N1" s="3"/>
      <c r="O1" s="3"/>
      <c r="P1" s="3"/>
      <c r="Q1" s="3"/>
      <c r="R1" s="3"/>
      <c r="S1" s="3"/>
      <c r="T1" s="3"/>
    </row>
    <row r="2" spans="2:20" s="4" customFormat="1" ht="19.5" customHeight="1" x14ac:dyDescent="0.2">
      <c r="B2" s="147"/>
      <c r="C2" s="147"/>
      <c r="D2" s="147"/>
      <c r="E2" s="147"/>
      <c r="F2" s="3"/>
      <c r="G2" s="3"/>
      <c r="H2" s="3"/>
      <c r="I2" s="14"/>
      <c r="J2" s="14"/>
      <c r="K2" s="14"/>
      <c r="L2" s="8"/>
      <c r="M2" s="8"/>
      <c r="N2" s="3"/>
      <c r="O2" s="3"/>
      <c r="P2" s="3"/>
      <c r="Q2" s="3"/>
      <c r="R2" s="3"/>
      <c r="S2" s="3"/>
      <c r="T2" s="3"/>
    </row>
    <row r="3" spans="2:20" s="4" customFormat="1" ht="19.5" customHeight="1" x14ac:dyDescent="0.2">
      <c r="B3" s="97" t="s">
        <v>93</v>
      </c>
      <c r="C3" s="98"/>
      <c r="D3" s="98"/>
      <c r="E3" s="99"/>
      <c r="F3" s="14"/>
      <c r="G3" s="14"/>
      <c r="H3" s="3"/>
      <c r="I3" s="14"/>
      <c r="J3" s="14"/>
      <c r="K3" s="14"/>
      <c r="L3" s="8"/>
      <c r="M3" s="8"/>
      <c r="N3" s="3"/>
      <c r="O3" s="3"/>
      <c r="P3" s="3"/>
      <c r="Q3" s="3"/>
      <c r="R3" s="3"/>
      <c r="S3" s="3"/>
      <c r="T3" s="3"/>
    </row>
    <row r="4" spans="2:20" s="4" customFormat="1" ht="19.5" customHeight="1" x14ac:dyDescent="0.2">
      <c r="B4" s="105" t="s">
        <v>94</v>
      </c>
      <c r="C4" s="106"/>
      <c r="D4" s="105" t="s">
        <v>95</v>
      </c>
      <c r="E4" s="106"/>
      <c r="F4" s="14"/>
      <c r="G4" s="14"/>
      <c r="H4" s="3"/>
      <c r="I4" s="14"/>
      <c r="J4" s="14"/>
      <c r="K4" s="14"/>
      <c r="L4" s="8"/>
      <c r="M4" s="8"/>
      <c r="N4" s="3"/>
      <c r="O4" s="3"/>
      <c r="P4" s="3"/>
      <c r="Q4" s="3"/>
      <c r="R4" s="3"/>
      <c r="S4" s="3"/>
      <c r="T4" s="3"/>
    </row>
    <row r="5" spans="2:20" s="4" customFormat="1" ht="19.5" customHeight="1" x14ac:dyDescent="0.2">
      <c r="B5" s="90" t="s">
        <v>131</v>
      </c>
      <c r="C5" s="91"/>
      <c r="D5" s="90" t="s">
        <v>132</v>
      </c>
      <c r="E5" s="91"/>
      <c r="F5" s="14"/>
      <c r="G5" s="14"/>
      <c r="H5" s="3"/>
      <c r="I5" s="14"/>
      <c r="J5" s="14"/>
      <c r="K5" s="14"/>
      <c r="L5" s="8"/>
      <c r="M5" s="8"/>
      <c r="N5" s="3"/>
      <c r="O5" s="3"/>
      <c r="P5" s="3"/>
      <c r="Q5" s="3"/>
      <c r="R5" s="3"/>
      <c r="S5" s="3"/>
      <c r="T5" s="3"/>
    </row>
    <row r="6" spans="2:20" s="4" customFormat="1" ht="19.5" customHeight="1" x14ac:dyDescent="0.2">
      <c r="B6" s="90" t="s">
        <v>159</v>
      </c>
      <c r="C6" s="91"/>
      <c r="D6" s="90" t="s">
        <v>160</v>
      </c>
      <c r="E6" s="91"/>
      <c r="F6" s="14"/>
      <c r="G6" s="14"/>
      <c r="H6" s="3"/>
      <c r="I6" s="14"/>
      <c r="J6" s="14"/>
      <c r="K6" s="14"/>
      <c r="L6" s="8"/>
      <c r="M6" s="8"/>
      <c r="N6" s="3"/>
      <c r="O6" s="3"/>
      <c r="P6" s="3"/>
      <c r="Q6" s="3"/>
      <c r="R6" s="3"/>
      <c r="S6" s="3"/>
      <c r="T6" s="3"/>
    </row>
    <row r="7" spans="2:20" s="4" customFormat="1" ht="19.5" customHeight="1" x14ac:dyDescent="0.2">
      <c r="B7" s="90" t="s">
        <v>162</v>
      </c>
      <c r="C7" s="91"/>
      <c r="D7" s="90" t="s">
        <v>163</v>
      </c>
      <c r="E7" s="91"/>
      <c r="F7" s="14"/>
      <c r="G7" s="14"/>
      <c r="H7" s="3"/>
      <c r="I7" s="14"/>
      <c r="J7" s="14"/>
      <c r="K7" s="14"/>
      <c r="L7" s="8"/>
      <c r="M7" s="8"/>
      <c r="N7" s="3"/>
      <c r="O7" s="3"/>
      <c r="P7" s="3"/>
      <c r="Q7" s="3"/>
      <c r="R7" s="3"/>
      <c r="S7" s="3"/>
      <c r="T7" s="3"/>
    </row>
    <row r="8" spans="2:20" s="4" customFormat="1" ht="19.5" customHeight="1" x14ac:dyDescent="0.2">
      <c r="C8" s="3"/>
      <c r="D8" s="14"/>
      <c r="E8" s="14"/>
      <c r="F8" s="14"/>
      <c r="G8" s="14"/>
      <c r="H8" s="3"/>
      <c r="I8" s="14"/>
      <c r="J8" s="14"/>
      <c r="K8" s="14"/>
      <c r="L8" s="8"/>
      <c r="M8" s="8"/>
      <c r="N8" s="3"/>
      <c r="O8" s="3"/>
      <c r="P8" s="3"/>
      <c r="Q8" s="3"/>
      <c r="R8" s="3"/>
      <c r="S8" s="3"/>
      <c r="T8" s="3"/>
    </row>
    <row r="9" spans="2:20" ht="19.5" customHeight="1" x14ac:dyDescent="0.2">
      <c r="B9" s="97" t="s">
        <v>96</v>
      </c>
      <c r="C9" s="98"/>
      <c r="D9" s="98"/>
      <c r="E9" s="99"/>
      <c r="F9" s="16"/>
      <c r="G9" s="42"/>
      <c r="H9" s="16"/>
    </row>
    <row r="10" spans="2:20" ht="30" customHeight="1" x14ac:dyDescent="0.2">
      <c r="B10" s="90"/>
      <c r="C10" s="91"/>
      <c r="D10" s="92" t="s">
        <v>97</v>
      </c>
      <c r="E10" s="93"/>
    </row>
    <row r="11" spans="2:20" ht="19.5" customHeight="1" x14ac:dyDescent="0.2">
      <c r="B11" s="100"/>
      <c r="C11" s="101"/>
      <c r="D11" s="92" t="s">
        <v>98</v>
      </c>
      <c r="E11" s="93"/>
    </row>
    <row r="12" spans="2:20" ht="19.5" customHeight="1" x14ac:dyDescent="0.2">
      <c r="B12" s="90" t="s">
        <v>99</v>
      </c>
      <c r="C12" s="91"/>
      <c r="D12" s="92" t="s">
        <v>130</v>
      </c>
      <c r="E12" s="93"/>
    </row>
    <row r="13" spans="2:20" ht="19.5" customHeight="1" x14ac:dyDescent="0.2">
      <c r="B13" s="90" t="s">
        <v>100</v>
      </c>
      <c r="C13" s="91"/>
      <c r="D13" s="92" t="s">
        <v>101</v>
      </c>
      <c r="E13" s="93"/>
    </row>
    <row r="14" spans="2:20" ht="45.95" customHeight="1" x14ac:dyDescent="0.2">
      <c r="B14" s="90" t="s">
        <v>120</v>
      </c>
      <c r="C14" s="91"/>
      <c r="D14" s="92" t="s">
        <v>122</v>
      </c>
      <c r="E14" s="93"/>
    </row>
    <row r="15" spans="2:20" ht="19.5" customHeight="1" x14ac:dyDescent="0.2">
      <c r="B15" s="90" t="s">
        <v>128</v>
      </c>
      <c r="C15" s="91"/>
      <c r="D15" s="92" t="s">
        <v>121</v>
      </c>
      <c r="E15" s="93"/>
    </row>
    <row r="16" spans="2:20" ht="19.5" customHeight="1" x14ac:dyDescent="0.2">
      <c r="B16" s="102" t="s">
        <v>102</v>
      </c>
      <c r="C16" s="103"/>
      <c r="D16" s="92"/>
      <c r="E16" s="93"/>
    </row>
    <row r="17" spans="2:6" ht="19.5" customHeight="1" x14ac:dyDescent="0.2">
      <c r="B17" s="44"/>
      <c r="C17" s="41" t="s">
        <v>103</v>
      </c>
      <c r="D17" s="92" t="s">
        <v>104</v>
      </c>
      <c r="E17" s="93"/>
    </row>
    <row r="18" spans="2:6" ht="19.5" customHeight="1" x14ac:dyDescent="0.2">
      <c r="B18" s="44"/>
      <c r="C18" s="45"/>
      <c r="D18" s="92" t="s">
        <v>105</v>
      </c>
      <c r="E18" s="93"/>
    </row>
    <row r="19" spans="2:6" ht="19.5" customHeight="1" x14ac:dyDescent="0.2">
      <c r="B19" s="44"/>
      <c r="C19" s="46"/>
      <c r="D19" s="92" t="s">
        <v>106</v>
      </c>
      <c r="E19" s="93"/>
    </row>
    <row r="20" spans="2:6" ht="19.5" customHeight="1" x14ac:dyDescent="0.2">
      <c r="B20" s="44"/>
      <c r="C20" s="149"/>
      <c r="D20" s="92" t="s">
        <v>107</v>
      </c>
      <c r="E20" s="93"/>
    </row>
    <row r="21" spans="2:6" ht="19.5" customHeight="1" x14ac:dyDescent="0.2">
      <c r="B21" s="94"/>
      <c r="C21" s="94"/>
      <c r="D21" s="95"/>
      <c r="E21" s="95"/>
    </row>
    <row r="22" spans="2:6" ht="19.5" customHeight="1" x14ac:dyDescent="0.2">
      <c r="B22" s="16"/>
      <c r="C22" s="42"/>
      <c r="D22" s="47"/>
    </row>
    <row r="23" spans="2:6" ht="19.5" customHeight="1" x14ac:dyDescent="0.2">
      <c r="B23" s="16"/>
      <c r="C23" s="42"/>
      <c r="D23" s="16"/>
    </row>
    <row r="24" spans="2:6" ht="19.5" customHeight="1" x14ac:dyDescent="0.2">
      <c r="B24" s="16"/>
      <c r="C24" s="42"/>
      <c r="D24" s="16"/>
    </row>
    <row r="25" spans="2:6" ht="19.5" customHeight="1" x14ac:dyDescent="0.2">
      <c r="B25" s="37"/>
      <c r="C25" s="37"/>
      <c r="D25" s="37"/>
      <c r="E25" s="96"/>
      <c r="F25" s="96"/>
    </row>
    <row r="26" spans="2:6" ht="19.5" customHeight="1" x14ac:dyDescent="0.2">
      <c r="B26" s="16"/>
      <c r="C26" s="42"/>
      <c r="D26" s="48"/>
    </row>
    <row r="27" spans="2:6" ht="19.5" customHeight="1" x14ac:dyDescent="0.2">
      <c r="B27" s="16"/>
      <c r="C27" s="42"/>
      <c r="D27" s="48"/>
    </row>
    <row r="28" spans="2:6" ht="19.5" customHeight="1" x14ac:dyDescent="0.2">
      <c r="B28" s="16"/>
      <c r="C28" s="49"/>
      <c r="D28" s="48"/>
    </row>
    <row r="29" spans="2:6" ht="19.5" customHeight="1" x14ac:dyDescent="0.2">
      <c r="B29" s="16"/>
      <c r="C29" s="42"/>
      <c r="D29" s="16"/>
    </row>
    <row r="30" spans="2:6" ht="19.5" customHeight="1" x14ac:dyDescent="0.2">
      <c r="B30" s="16"/>
      <c r="C30" s="42"/>
      <c r="D30" s="16"/>
    </row>
    <row r="31" spans="2:6" ht="19.5" customHeight="1" x14ac:dyDescent="0.2"/>
    <row r="32" spans="2: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</sheetData>
  <mergeCells count="32">
    <mergeCell ref="B7:C7"/>
    <mergeCell ref="D7:E7"/>
    <mergeCell ref="B3:E3"/>
    <mergeCell ref="B4:C4"/>
    <mergeCell ref="D4:E4"/>
    <mergeCell ref="B5:C5"/>
    <mergeCell ref="D5:E5"/>
    <mergeCell ref="B1:E1"/>
    <mergeCell ref="B21:C21"/>
    <mergeCell ref="D21:E21"/>
    <mergeCell ref="B15:C15"/>
    <mergeCell ref="E25:F25"/>
    <mergeCell ref="D18:E18"/>
    <mergeCell ref="B16:C16"/>
    <mergeCell ref="D16:E16"/>
    <mergeCell ref="D17:E17"/>
    <mergeCell ref="B6:C6"/>
    <mergeCell ref="D6:E6"/>
    <mergeCell ref="D15:E15"/>
    <mergeCell ref="D19:E19"/>
    <mergeCell ref="D20:E20"/>
    <mergeCell ref="B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4002726BB1F443968F5414BE7A2EF1" ma:contentTypeVersion="4" ma:contentTypeDescription="Ein neues Dokument erstellen." ma:contentTypeScope="" ma:versionID="4ec34f4de6e098e8ddaaad2f3075d8d7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788eb9c00d7c1360833984a8fe946355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CFD927-8F6D-4108-9BE8-65D3E057E0A9}"/>
</file>

<file path=customXml/itemProps2.xml><?xml version="1.0" encoding="utf-8"?>
<ds:datastoreItem xmlns:ds="http://schemas.openxmlformats.org/officeDocument/2006/customXml" ds:itemID="{79FB1387-C47C-4475-A8FB-76165A0F8D6A}"/>
</file>

<file path=customXml/itemProps3.xml><?xml version="1.0" encoding="utf-8"?>
<ds:datastoreItem xmlns:ds="http://schemas.openxmlformats.org/officeDocument/2006/customXml" ds:itemID="{674AC0CB-E340-489F-9371-4575E2264B1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Report</vt:lpstr>
      <vt:lpstr>Specific Test Cases</vt:lpstr>
      <vt:lpstr>Comments</vt:lpstr>
      <vt:lpstr>Legend</vt:lpstr>
      <vt:lpstr>Comments!Druckbereich</vt:lpstr>
      <vt:lpstr>'Specific Test Cases'!Druckbereich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Hambücken</dc:creator>
  <cp:lastModifiedBy>Andreas Schwackenberg</cp:lastModifiedBy>
  <dcterms:modified xsi:type="dcterms:W3CDTF">2026-07-17T21:24:39Z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