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c\SVN\EEBUS\trunk\TestSpecs\InstallationProcess_TestSpecs\SHIPPairingService_TestSpec\"/>
    </mc:Choice>
  </mc:AlternateContent>
  <xr:revisionPtr revIDLastSave="0" documentId="13_ncr:1_{85D4C408-9A89-49B0-B599-E6B462BD42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  <sheet name="Test Cases" sheetId="2" r:id="rId2"/>
    <sheet name="Comments" sheetId="3" r:id="rId3"/>
    <sheet name="Legend" sheetId="4" r:id="rId4"/>
  </sheets>
  <definedNames>
    <definedName name="_ITEM1" localSheetId="2">Comments!#REF!</definedName>
    <definedName name="_ITEM1" localSheetId="0">#REF!</definedName>
    <definedName name="_ITEM1">#REF!</definedName>
    <definedName name="_ITEM2" localSheetId="2">Comments!#REF!</definedName>
    <definedName name="_ITEM2" localSheetId="0">#REF!</definedName>
    <definedName name="_ITEM2">#REF!</definedName>
    <definedName name="_ITEM3" localSheetId="2">Comments!#REF!</definedName>
    <definedName name="_ITEM3" localSheetId="0">#REF!</definedName>
    <definedName name="_ITEM3">#REF!</definedName>
    <definedName name="_ITEM4" localSheetId="2">Comments!#REF!</definedName>
    <definedName name="_ITEM4" localSheetId="0">#REF!</definedName>
    <definedName name="_ITEM4">#REF!</definedName>
    <definedName name="_ITEM5" localSheetId="2">Comments!#REF!</definedName>
    <definedName name="_ITEM5" localSheetId="0">#REF!</definedName>
    <definedName name="_ITEM5">#REF!</definedName>
    <definedName name="_ITEM6" localSheetId="2">Comments!#REF!</definedName>
    <definedName name="_ITEM6" localSheetId="0">#REF!</definedName>
    <definedName name="_ITEM6">#REF!</definedName>
    <definedName name="_xlnm.Print_Area" localSheetId="2">Comments!$A$1:$D$9</definedName>
    <definedName name="_xlnm.Print_Area" localSheetId="3">Legend!$A$1:$E$14</definedName>
    <definedName name="_xlnm.Print_Area" localSheetId="0">Report!$A:$G</definedName>
    <definedName name="_xlnm.Print_Area" localSheetId="1">'Test Cases'!$A$1:$F$66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24" i="1"/>
  <c r="D24" i="1"/>
  <c r="F22" i="1"/>
  <c r="E22" i="1"/>
  <c r="E23" i="1" s="1"/>
  <c r="D22" i="1"/>
  <c r="D23" i="1" s="1"/>
  <c r="F20" i="1"/>
  <c r="E20" i="1"/>
  <c r="E21" i="1" s="1"/>
  <c r="D20" i="1"/>
  <c r="F19" i="1"/>
  <c r="E19" i="1"/>
  <c r="D19" i="1"/>
  <c r="D16" i="1"/>
  <c r="F15" i="1"/>
  <c r="E15" i="1"/>
  <c r="D15" i="1"/>
  <c r="F21" i="1" l="1"/>
  <c r="F23" i="1"/>
  <c r="E25" i="1"/>
  <c r="D25" i="1"/>
  <c r="F25" i="1"/>
  <c r="D21" i="1"/>
</calcChain>
</file>

<file path=xl/sharedStrings.xml><?xml version="1.0" encoding="utf-8"?>
<sst xmlns="http://schemas.openxmlformats.org/spreadsheetml/2006/main" count="189" uniqueCount="127">
  <si>
    <t>DUT CREDENTIALS &amp; ROLES</t>
  </si>
  <si>
    <t>DATA TYPE</t>
  </si>
  <si>
    <t>DESCRIPTION / CONSTRAINTS</t>
  </si>
  <si>
    <t>PAR_dutRole</t>
  </si>
  <si>
    <t>Enum</t>
  </si>
  <si>
    <t>Defines if the DUT acts as devA (node to be paired) or devZ (Control Unit).</t>
  </si>
  <si>
    <t>DUT SHIP ID</t>
  </si>
  <si>
    <t>String</t>
  </si>
  <si>
    <t>The SHIP ID of the DUT.</t>
  </si>
  <si>
    <t>DUT Secret (only devA)</t>
  </si>
  <si>
    <t xml:space="preserve">	The secret value for the SHIP Pairing Service. Range: [0, 2^128-1], represented by 32 hexadecimal digits (only required if DUT = devA).</t>
  </si>
  <si>
    <t>DUT Fingerprint (only devA)</t>
  </si>
  <si>
    <t>The SHA-256 fingerprint of the DUT's certificate.</t>
  </si>
  <si>
    <t>devA PARAMETERS</t>
  </si>
  <si>
    <t>PAR_typeRestrDevA</t>
  </si>
  <si>
    <t>Does devA only accept "addCu-requests"? (Must be "yes")</t>
  </si>
  <si>
    <t>PAR_spsSvcByDevA</t>
  </si>
  <si>
    <t>Does devA announce SPS request announcements? (Must be "no")</t>
  </si>
  <si>
    <t>PAR_eccOfDevA - secp256r1</t>
  </si>
  <si>
    <t>Does devA support elliptic curve "secp256r1"? (Must be "yes")</t>
  </si>
  <si>
    <t>PAR_eccOfDevA - brainpoolP256r1</t>
  </si>
  <si>
    <t>Does devA support elliptic curve "brainpoolP256r1"?</t>
  </si>
  <si>
    <t>PAR_eccOfDevA - brainpoolP384r1</t>
  </si>
  <si>
    <t>Does devA support elliptic curve "brainpoolP384r1"?</t>
  </si>
  <si>
    <t>PAR_ringBufferSize</t>
  </si>
  <si>
    <t>Integer</t>
  </si>
  <si>
    <t>The maximum number of entries in the digest ring buffer. Must be &gt;= 10.</t>
  </si>
  <si>
    <t>devZ PARAMETERS</t>
  </si>
  <si>
    <t>PAR_spsSvcDelTime_DUR</t>
  </si>
  <si>
    <t>PAR_typeRestrDevZ</t>
  </si>
  <si>
    <t>Does devZ only announce "addCu-requests"? (Must be "yes")</t>
  </si>
  <si>
    <t>PAR_spsSvcToDevZ</t>
  </si>
  <si>
    <t>Does devZ listen to SPS request announcements? (Must be "no")</t>
  </si>
  <si>
    <t>PAR_parallelSpsSvcByDevZ</t>
  </si>
  <si>
    <t>Can devZ send requests to multiple devA in parallel? (Choices: "yes", "no", "unspecified")</t>
  </si>
  <si>
    <t>PAR_spsSvcCorrection</t>
  </si>
  <si>
    <t>PAR_shipSvcByDevZ</t>
  </si>
  <si>
    <t>Does devZ announce its SHIP service? (Choices: "yes", "no")</t>
  </si>
  <si>
    <t>Test ID</t>
  </si>
  <si>
    <t>DUT ROLE</t>
  </si>
  <si>
    <t>TEST DATE</t>
  </si>
  <si>
    <t>TEST VERDICT</t>
  </si>
  <si>
    <t>COMMENTS / NOTES / ADDITIONS</t>
  </si>
  <si>
    <t>TC_SPS_DISC_001</t>
  </si>
  <si>
    <t>devZ</t>
  </si>
  <si>
    <t>TC_SPS_DISC_002</t>
  </si>
  <si>
    <t>TC_SPS_DISC_003</t>
  </si>
  <si>
    <t>TC_SPS_DISC_004</t>
  </si>
  <si>
    <t>TC_SPS_DISC_005</t>
  </si>
  <si>
    <t>TC_SPS_DISC_006</t>
  </si>
  <si>
    <t>TC_SPS_DISC_007</t>
  </si>
  <si>
    <t>TC_SPS_DISC_008</t>
  </si>
  <si>
    <t>TC_SPS_DISC_009</t>
  </si>
  <si>
    <t>TC_SPS_TXT_001</t>
  </si>
  <si>
    <t>TC_SPS_TXT_002</t>
  </si>
  <si>
    <t>devA</t>
  </si>
  <si>
    <t>TC_SPS_TXT_003</t>
  </si>
  <si>
    <t>TC_SPS_TXT_004</t>
  </si>
  <si>
    <t>TC_SPS_TXT_005</t>
  </si>
  <si>
    <t>TC_SPS_TXT_006</t>
  </si>
  <si>
    <t>TC_SPS_TXT_007</t>
  </si>
  <si>
    <t>TC_SPS_TXT_008</t>
  </si>
  <si>
    <t>TC_SPS_TXT_009</t>
  </si>
  <si>
    <t>TC_SPS_DIGEST_001</t>
  </si>
  <si>
    <t>TC_SPS_DIGEST_002</t>
  </si>
  <si>
    <t>TC_SPS_DIGEST_003</t>
  </si>
  <si>
    <t>TC_SPS_PROC_001</t>
  </si>
  <si>
    <t>TC_SPS_PROC_002</t>
  </si>
  <si>
    <t>TC_SPS_PROC_003</t>
  </si>
  <si>
    <t>TC_SPS_PROC_004</t>
  </si>
  <si>
    <t>TC_SPS_PROC_005</t>
  </si>
  <si>
    <t>TC_SPS_PROC_006</t>
  </si>
  <si>
    <t>TC_SPS_PROC_007</t>
  </si>
  <si>
    <t>TC_SPS_PROC_008</t>
  </si>
  <si>
    <t>TC_SPS_PROC_009</t>
  </si>
  <si>
    <t>TC_SPS_TRUST_001</t>
  </si>
  <si>
    <t>TC_SPS_TRUST_002</t>
  </si>
  <si>
    <t>TC_SPS_QR_001</t>
  </si>
  <si>
    <t>TC_SPS_FP_001</t>
  </si>
  <si>
    <t>TC_SPS_FP_002</t>
  </si>
  <si>
    <t>TC_SPS_PARA_001</t>
  </si>
  <si>
    <t>TC_SPS_PARA_002</t>
  </si>
  <si>
    <t>TC_SPS_PARA_003</t>
  </si>
  <si>
    <t>TC_SPS_PARA_004</t>
  </si>
  <si>
    <t>TC_SPS_PARA_005</t>
  </si>
  <si>
    <t xml:space="preserve"> </t>
  </si>
  <si>
    <t>MANUFACTURER NAME</t>
  </si>
  <si>
    <t>MODEL</t>
  </si>
  <si>
    <t>DEVICE TYPE</t>
  </si>
  <si>
    <t>TEST SPECIFICATION</t>
  </si>
  <si>
    <t>NAME OF TESTER(S)</t>
  </si>
  <si>
    <t>Overall Status</t>
  </si>
  <si>
    <t>Total</t>
  </si>
  <si>
    <t>Number of TCs</t>
  </si>
  <si>
    <t>Test cycle duration</t>
  </si>
  <si>
    <t xml:space="preserve">Execution Status   </t>
  </si>
  <si>
    <t>Number of TCs executed</t>
  </si>
  <si>
    <t>Number of passed TCs</t>
  </si>
  <si>
    <t>Passed percentage</t>
  </si>
  <si>
    <t>Number of failed TCs</t>
  </si>
  <si>
    <t>Failed percentage</t>
  </si>
  <si>
    <t>Number of not applicable TCs</t>
  </si>
  <si>
    <t>Not applicable percentage</t>
  </si>
  <si>
    <t>SPS PARAMETER SHEET - COMMENTS</t>
  </si>
  <si>
    <t>TEST NO.</t>
  </si>
  <si>
    <t>GENERAL QUESTIONS / COMMENTS</t>
  </si>
  <si>
    <t>SPS PARAMETER SHEET - LEGEND</t>
  </si>
  <si>
    <t>Revisions</t>
  </si>
  <si>
    <t>Version</t>
  </si>
  <si>
    <t>Date/Editor</t>
  </si>
  <si>
    <t>V1.0.0</t>
  </si>
  <si>
    <t>Formatting rules</t>
  </si>
  <si>
    <t>Cells with a white background need to be manually filled in.</t>
  </si>
  <si>
    <t>Greyed-out cells are either filled in automatically or do not need to be filled by the user for the chosen DUT-role.</t>
  </si>
  <si>
    <t>Test verdict</t>
  </si>
  <si>
    <t>According to the chosen test verdict its background is colorized automatically.</t>
  </si>
  <si>
    <t>Passed</t>
  </si>
  <si>
    <t>Failed</t>
  </si>
  <si>
    <t>Not applicable (background of whole line is greyed-out)</t>
  </si>
  <si>
    <t>EEBus_SHIP_Pairing_Service_TestSpec_V1.0.0</t>
  </si>
  <si>
    <t xml:space="preserve">                  SPS PARAMETER SHEET - REPORT</t>
  </si>
  <si>
    <t>SPS PARAMETER SHEET - TEST CASES</t>
  </si>
  <si>
    <t>PAR_spsSvcDelTime</t>
  </si>
  <si>
    <t>Does devZ delete its shippairing request
- at most &lt;PAR_spsSvcDelTime_DUR&gt; minutes after the first establishment of a SHIP communication with the newly paired SHIP node ("Option 1")
- or as soon as a SHIP communication wit the newly paired SHIP node lasts for &lt;PAR_spsSvcDelTime_DUR&gt; minutes without interruption, but not before ("Option 2")?</t>
  </si>
  <si>
    <t>How does devZ correct SPS requests?
- a corrected shippairing request is announced using a new service ("Option 1")
- a corrected shippairing request might by announced with the same service instance name as before, but the DUT must wait at least 1.5*TTL after the deletion of the (wrong) request before announcing the corrrected request ("Option 2")
- or "unspecified".</t>
  </si>
  <si>
    <t>Duration in minutes after devZ deletes its shippairing request (rounded up to whole minutes). Range: [1..15].</t>
  </si>
  <si>
    <t>2026-07-06 - AH/AS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</si>
</sst>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[=1]0\ &quot;Day&quot;;0\ &quot;Days&quot;"/>
  </numFmts>
  <fonts count="16" x14ac:knownFonts="1">
    <font>
      <sz val="11"/>
      <color theme="1"/>
      <name val="Aptos Narrow"/>
      <family val="2"/>
      <scheme val="minor"/>
    </font>
    <font>
      <b/>
      <sz val="20"/>
      <color theme="0" tint="-0.34998626667073579"/>
      <name val="Century Gothic"/>
      <family val="1"/>
    </font>
    <font>
      <sz val="10"/>
      <name val="Century Gothic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sz val="10"/>
      <color rgb="FF000000"/>
      <name val="Arial"/>
      <family val="2"/>
    </font>
    <font>
      <sz val="22"/>
      <color theme="1"/>
      <name val="Arial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1"/>
    </font>
    <font>
      <sz val="10"/>
      <name val="Arial"/>
      <family val="2"/>
    </font>
    <font>
      <sz val="12"/>
      <color rgb="FF000000"/>
      <name val="Calibri"/>
      <family val="2"/>
    </font>
    <font>
      <b/>
      <sz val="10"/>
      <color theme="1"/>
      <name val="Century Gothic"/>
      <family val="1"/>
    </font>
    <font>
      <b/>
      <sz val="9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20"/>
      <color theme="0" tint="-0.34998626667073579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0" fontId="5" fillId="0" borderId="0"/>
  </cellStyleXfs>
  <cellXfs count="122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5" borderId="9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1" fillId="2" borderId="7" xfId="0" applyFont="1" applyFill="1" applyBorder="1" applyAlignment="1">
      <alignment horizontal="left" vertical="center"/>
    </xf>
    <xf numFmtId="0" fontId="0" fillId="0" borderId="14" xfId="0" applyBorder="1"/>
    <xf numFmtId="0" fontId="1" fillId="2" borderId="7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left" vertical="center" wrapText="1" indent="1"/>
    </xf>
    <xf numFmtId="0" fontId="5" fillId="2" borderId="0" xfId="1" applyFill="1" applyAlignment="1">
      <alignment vertical="top"/>
    </xf>
    <xf numFmtId="0" fontId="4" fillId="2" borderId="8" xfId="1" applyFont="1" applyFill="1" applyBorder="1" applyAlignment="1">
      <alignment vertical="center" wrapText="1"/>
    </xf>
    <xf numFmtId="0" fontId="4" fillId="7" borderId="10" xfId="1" applyFont="1" applyFill="1" applyBorder="1" applyAlignment="1">
      <alignment vertical="center" wrapText="1"/>
    </xf>
    <xf numFmtId="0" fontId="4" fillId="8" borderId="10" xfId="1" applyFont="1" applyFill="1" applyBorder="1" applyAlignment="1">
      <alignment vertical="center" wrapText="1"/>
    </xf>
    <xf numFmtId="0" fontId="3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left" vertical="center" wrapText="1"/>
    </xf>
    <xf numFmtId="0" fontId="8" fillId="2" borderId="0" xfId="1" quotePrefix="1" applyFont="1" applyFill="1" applyAlignment="1">
      <alignment horizontal="left" vertical="center" wrapText="1" indent="1"/>
    </xf>
    <xf numFmtId="0" fontId="9" fillId="2" borderId="0" xfId="1" applyFont="1" applyFill="1"/>
    <xf numFmtId="0" fontId="5" fillId="2" borderId="0" xfId="1" applyFill="1"/>
    <xf numFmtId="0" fontId="5" fillId="0" borderId="0" xfId="1"/>
    <xf numFmtId="0" fontId="10" fillId="2" borderId="0" xfId="1" applyFont="1" applyFill="1"/>
    <xf numFmtId="0" fontId="9" fillId="2" borderId="0" xfId="1" applyFont="1" applyFill="1" applyAlignment="1">
      <alignment horizontal="center"/>
    </xf>
    <xf numFmtId="0" fontId="5" fillId="2" borderId="0" xfId="1" applyFill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0" fontId="5" fillId="0" borderId="0" xfId="1" applyAlignment="1">
      <alignment horizontal="center"/>
    </xf>
    <xf numFmtId="0" fontId="4" fillId="2" borderId="0" xfId="1" applyFont="1" applyFill="1"/>
    <xf numFmtId="0" fontId="12" fillId="2" borderId="0" xfId="1" applyFont="1" applyFill="1" applyAlignment="1">
      <alignment horizontal="left" vertical="center"/>
    </xf>
    <xf numFmtId="0" fontId="8" fillId="2" borderId="18" xfId="1" applyFont="1" applyFill="1" applyBorder="1" applyAlignment="1">
      <alignment vertical="center"/>
    </xf>
    <xf numFmtId="0" fontId="8" fillId="2" borderId="18" xfId="1" applyFont="1" applyFill="1" applyBorder="1" applyAlignment="1">
      <alignment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vertical="center" wrapText="1"/>
    </xf>
    <xf numFmtId="0" fontId="13" fillId="4" borderId="10" xfId="1" applyFont="1" applyFill="1" applyBorder="1" applyAlignment="1">
      <alignment horizontal="right" vertical="center" wrapText="1" inden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14" fillId="6" borderId="11" xfId="1" applyFont="1" applyFill="1" applyBorder="1" applyAlignment="1">
      <alignment horizontal="center" vertical="center" wrapText="1"/>
    </xf>
    <xf numFmtId="0" fontId="14" fillId="2" borderId="9" xfId="1" applyFont="1" applyFill="1" applyBorder="1" applyAlignment="1">
      <alignment horizontal="right" vertical="center" wrapText="1"/>
    </xf>
    <xf numFmtId="0" fontId="14" fillId="2" borderId="9" xfId="1" applyFont="1" applyFill="1" applyBorder="1" applyAlignment="1">
      <alignment horizontal="center" vertical="center" wrapText="1"/>
    </xf>
    <xf numFmtId="0" fontId="14" fillId="6" borderId="11" xfId="1" quotePrefix="1" applyFont="1" applyFill="1" applyBorder="1" applyAlignment="1">
      <alignment horizontal="center" vertical="center" wrapText="1"/>
    </xf>
    <xf numFmtId="0" fontId="13" fillId="4" borderId="21" xfId="1" applyFont="1" applyFill="1" applyBorder="1" applyAlignment="1">
      <alignment vertical="center" wrapText="1"/>
    </xf>
    <xf numFmtId="0" fontId="13" fillId="4" borderId="22" xfId="1" applyFont="1" applyFill="1" applyBorder="1" applyAlignment="1">
      <alignment horizontal="right" vertical="center" wrapText="1" indent="1"/>
    </xf>
    <xf numFmtId="164" fontId="14" fillId="6" borderId="11" xfId="1" applyNumberFormat="1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vertical="center" wrapText="1"/>
    </xf>
    <xf numFmtId="0" fontId="2" fillId="6" borderId="11" xfId="0" applyFont="1" applyFill="1" applyBorder="1" applyAlignment="1">
      <alignment vertical="center"/>
    </xf>
    <xf numFmtId="0" fontId="2" fillId="6" borderId="11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13" fillId="5" borderId="9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vertical="center" wrapText="1"/>
    </xf>
    <xf numFmtId="0" fontId="2" fillId="6" borderId="23" xfId="0" applyFont="1" applyFill="1" applyBorder="1" applyAlignment="1">
      <alignment horizontal="center" vertical="center" wrapText="1"/>
    </xf>
    <xf numFmtId="14" fontId="14" fillId="0" borderId="11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2" borderId="11" xfId="1" applyFont="1" applyFill="1" applyBorder="1" applyAlignment="1">
      <alignment horizontal="left" vertical="center" wrapText="1"/>
    </xf>
    <xf numFmtId="0" fontId="4" fillId="6" borderId="10" xfId="1" applyFont="1" applyFill="1" applyBorder="1" applyAlignment="1">
      <alignment vertical="center" wrapText="1"/>
    </xf>
    <xf numFmtId="0" fontId="14" fillId="0" borderId="11" xfId="0" applyFont="1" applyBorder="1" applyAlignment="1">
      <alignment horizontal="left" vertical="center"/>
    </xf>
    <xf numFmtId="0" fontId="1" fillId="2" borderId="5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vertical="center" wrapText="1"/>
    </xf>
    <xf numFmtId="0" fontId="0" fillId="0" borderId="26" xfId="0" applyBorder="1"/>
    <xf numFmtId="0" fontId="3" fillId="5" borderId="20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27" xfId="0" applyFont="1" applyFill="1" applyBorder="1" applyAlignment="1">
      <alignment vertical="center" wrapText="1"/>
    </xf>
    <xf numFmtId="0" fontId="3" fillId="9" borderId="21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vertical="center"/>
    </xf>
    <xf numFmtId="0" fontId="4" fillId="2" borderId="11" xfId="1" applyFont="1" applyFill="1" applyBorder="1" applyAlignment="1">
      <alignment horizontal="left" vertical="center" wrapText="1" indent="1"/>
    </xf>
    <xf numFmtId="0" fontId="3" fillId="9" borderId="28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9" fillId="2" borderId="3" xfId="1" applyFont="1" applyFill="1" applyBorder="1"/>
    <xf numFmtId="0" fontId="3" fillId="9" borderId="22" xfId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2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9" xfId="0" applyBorder="1" applyAlignment="1">
      <alignment horizontal="center"/>
    </xf>
    <xf numFmtId="0" fontId="11" fillId="2" borderId="19" xfId="1" applyFont="1" applyFill="1" applyBorder="1" applyAlignment="1">
      <alignment horizontal="left" vertical="center"/>
    </xf>
    <xf numFmtId="0" fontId="0" fillId="0" borderId="19" xfId="0" applyBorder="1"/>
    <xf numFmtId="0" fontId="1" fillId="2" borderId="0" xfId="1" applyFont="1" applyFill="1" applyAlignment="1">
      <alignment horizontal="center" vertical="center"/>
    </xf>
    <xf numFmtId="0" fontId="13" fillId="4" borderId="11" xfId="1" applyFont="1" applyFill="1" applyBorder="1" applyAlignment="1">
      <alignment horizontal="right" vertical="center" wrapText="1" indent="1"/>
    </xf>
    <xf numFmtId="165" fontId="14" fillId="6" borderId="11" xfId="1" applyNumberFormat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/>
    </xf>
    <xf numFmtId="0" fontId="0" fillId="0" borderId="16" xfId="0" applyBorder="1"/>
    <xf numFmtId="0" fontId="11" fillId="2" borderId="5" xfId="1" applyFont="1" applyFill="1" applyBorder="1" applyAlignment="1">
      <alignment horizontal="left" vertical="center"/>
    </xf>
    <xf numFmtId="0" fontId="0" fillId="0" borderId="5" xfId="0" applyBorder="1"/>
    <xf numFmtId="49" fontId="8" fillId="2" borderId="25" xfId="1" applyNumberFormat="1" applyFont="1" applyFill="1" applyBorder="1" applyAlignment="1">
      <alignment horizontal="center" vertical="center" wrapText="1"/>
    </xf>
    <xf numFmtId="0" fontId="0" fillId="0" borderId="17" xfId="0" applyBorder="1"/>
    <xf numFmtId="49" fontId="8" fillId="2" borderId="25" xfId="1" applyNumberFormat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left" vertical="center" wrapText="1"/>
    </xf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5" fillId="2" borderId="0" xfId="1" applyFill="1" applyAlignment="1">
      <alignment vertical="top"/>
    </xf>
    <xf numFmtId="0" fontId="7" fillId="2" borderId="11" xfId="1" applyFont="1" applyFill="1" applyBorder="1" applyAlignment="1">
      <alignment horizontal="left" vertical="center" wrapText="1"/>
    </xf>
    <xf numFmtId="0" fontId="4" fillId="6" borderId="11" xfId="1" applyFont="1" applyFill="1" applyBorder="1" applyAlignment="1">
      <alignment horizontal="center" vertical="center" wrapText="1"/>
    </xf>
    <xf numFmtId="0" fontId="0" fillId="6" borderId="10" xfId="0" applyFill="1" applyBorder="1"/>
    <xf numFmtId="0" fontId="2" fillId="6" borderId="11" xfId="0" applyFont="1" applyFill="1" applyBorder="1" applyAlignment="1">
      <alignment horizontal="left" vertical="center" wrapText="1"/>
    </xf>
  </cellXfs>
  <cellStyles count="2">
    <cellStyle name="Standard" xfId="0" builtinId="0"/>
    <cellStyle name="Standard 2" xfId="1" xr:uid="{00000000-0005-0000-0000-000001000000}"/>
  </cellStyles>
  <dxfs count="12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2"/>
      </font>
      <alignment horizontal="left" vertical="center" textRotation="0" wrapText="0" indent="0" justifyLastLine="0" shrinkToFit="0" readingOrder="0"/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2"/>
      </font>
      <alignment horizontal="center" vertical="center"/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2"/>
      </font>
      <numFmt numFmtId="19" formatCode="dd/mm/yyyy"/>
      <alignment horizontal="center" vertical="center"/>
      <border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entury Gothic"/>
        <family val="2"/>
      </font>
      <fill>
        <patternFill patternType="solid">
          <fgColor indexed="64"/>
          <bgColor theme="0" tint="-0.14999847407452621"/>
        </patternFill>
      </fill>
      <alignment horizontal="center" vertical="center" wrapText="1"/>
      <border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entury Gothic"/>
        <family val="2"/>
      </font>
      <fill>
        <patternFill patternType="solid">
          <fgColor indexed="64"/>
          <bgColor theme="0" tint="-0.14999847407452621"/>
        </patternFill>
      </fill>
      <alignment horizontal="general" vertical="center" wrapText="1"/>
      <border outline="0">
        <left/>
        <right/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bottom style="thin">
          <color theme="0" tint="-0.249977111117893"/>
        </bottom>
      </border>
    </dxf>
  </dxfs>
  <tableStyles count="1" defaultTableStyle="TableStyleMedium2" defaultPivotStyle="PivotStyleLight16">
    <tableStyle name="TestcaseTabelle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66605</xdr:rowOff>
    </xdr:from>
    <xdr:ext cx="1778826" cy="504895"/>
    <xdr:pic>
      <xdr:nvPicPr>
        <xdr:cNvPr id="3" name="Picture 1">
          <a:extLst>
            <a:ext uri="{FF2B5EF4-FFF2-40B4-BE49-F238E27FC236}">
              <a16:creationId xmlns:a16="http://schemas.microsoft.com/office/drawing/2014/main" id="{49336C2E-690B-4B59-AA44-B68267D86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605"/>
          <a:ext cx="1778826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66605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39F97ED0-53EF-4D4C-9DFC-87799CA61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605"/>
          <a:ext cx="1778826" cy="5048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66605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D0923BE0-24BA-4CA9-A075-B23F6A6F5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605"/>
          <a:ext cx="1778826" cy="5048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66605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1EAB2F74-575C-40AD-9F34-9117255FD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605"/>
          <a:ext cx="1778826" cy="50489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Tabelle" displayName="TestcaseTabelle" ref="B26:F66" totalsRowShown="0" tableBorderDxfId="11">
  <autoFilter ref="B26:F66" xr:uid="{00000000-0009-0000-0100-000001000000}"/>
  <tableColumns count="5">
    <tableColumn id="1" xr3:uid="{00000000-0010-0000-0000-000001000000}" name="Test ID" dataDxfId="10"/>
    <tableColumn id="2" xr3:uid="{00000000-0010-0000-0000-000002000000}" name="DUT ROLE" dataDxfId="9"/>
    <tableColumn id="3" xr3:uid="{00000000-0010-0000-0000-000003000000}" name="TEST DATE" dataDxfId="8"/>
    <tableColumn id="4" xr3:uid="{00000000-0010-0000-0000-000004000000}" name="TEST VERDICT" dataDxfId="7"/>
    <tableColumn id="5" xr3:uid="{00000000-0010-0000-0000-000005000000}" name="COMMENTS / NOTES / ADDITIONS" dataDxfId="6"/>
  </tableColumns>
  <tableStyleInfo name="TestcaseTabelle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  <pageSetUpPr fitToPage="1"/>
  </sheetPr>
  <dimension ref="A1:I27"/>
  <sheetViews>
    <sheetView tabSelected="1" workbookViewId="0"/>
  </sheetViews>
  <sheetFormatPr baseColWidth="10" defaultColWidth="0" defaultRowHeight="0" customHeight="1" zeroHeight="1" x14ac:dyDescent="0.25"/>
  <cols>
    <col min="1" max="1" width="3" style="20" customWidth="1"/>
    <col min="2" max="2" width="4.7109375" style="20" customWidth="1"/>
    <col min="3" max="3" width="34.28515625" style="20" customWidth="1"/>
    <col min="4" max="6" width="17.140625" style="20" customWidth="1"/>
    <col min="7" max="7" width="3" style="20" customWidth="1"/>
    <col min="8" max="9" width="13" style="20" hidden="1" customWidth="1"/>
    <col min="10" max="11" width="11.42578125" style="20" hidden="1" customWidth="1"/>
    <col min="12" max="16384" width="11.42578125" style="20" hidden="1"/>
  </cols>
  <sheetData>
    <row r="1" spans="1:7" s="14" customFormat="1" ht="45" customHeight="1" x14ac:dyDescent="0.25">
      <c r="A1" s="14" t="s">
        <v>85</v>
      </c>
      <c r="C1" s="100" t="s">
        <v>120</v>
      </c>
      <c r="D1" s="100"/>
      <c r="E1" s="100"/>
      <c r="F1" s="100"/>
    </row>
    <row r="2" spans="1:7" s="14" customFormat="1" ht="19.5" customHeight="1" x14ac:dyDescent="0.25">
      <c r="D2" s="15"/>
    </row>
    <row r="3" spans="1:7" s="28" customFormat="1" ht="19.899999999999999" customHeight="1" x14ac:dyDescent="0.25">
      <c r="A3" s="36"/>
      <c r="B3" s="105" t="s">
        <v>86</v>
      </c>
      <c r="C3" s="106"/>
      <c r="D3" s="106"/>
      <c r="E3" s="106"/>
      <c r="F3" s="106"/>
      <c r="G3" s="37"/>
    </row>
    <row r="4" spans="1:7" s="28" customFormat="1" ht="27" customHeight="1" thickBot="1" x14ac:dyDescent="0.3">
      <c r="A4" s="36"/>
      <c r="B4" s="109"/>
      <c r="C4" s="104"/>
      <c r="D4" s="104"/>
      <c r="E4" s="104"/>
      <c r="F4" s="108"/>
      <c r="G4" s="38"/>
    </row>
    <row r="5" spans="1:7" s="28" customFormat="1" ht="19.899999999999999" customHeight="1" x14ac:dyDescent="0.25">
      <c r="A5" s="36"/>
      <c r="B5" s="105" t="s">
        <v>87</v>
      </c>
      <c r="C5" s="106"/>
      <c r="D5" s="106"/>
      <c r="E5" s="106"/>
      <c r="F5" s="106"/>
      <c r="G5" s="37"/>
    </row>
    <row r="6" spans="1:7" s="28" customFormat="1" ht="27" customHeight="1" thickBot="1" x14ac:dyDescent="0.3">
      <c r="A6" s="36"/>
      <c r="B6" s="109"/>
      <c r="C6" s="104"/>
      <c r="D6" s="104"/>
      <c r="E6" s="104"/>
      <c r="F6" s="108"/>
      <c r="G6" s="38"/>
    </row>
    <row r="7" spans="1:7" s="28" customFormat="1" ht="19.5" customHeight="1" x14ac:dyDescent="0.25">
      <c r="A7" s="36"/>
      <c r="B7" s="98" t="s">
        <v>88</v>
      </c>
      <c r="C7" s="99"/>
      <c r="D7" s="99"/>
      <c r="E7" s="99"/>
      <c r="F7" s="99"/>
      <c r="G7" s="37"/>
    </row>
    <row r="8" spans="1:7" s="28" customFormat="1" ht="27" customHeight="1" thickBot="1" x14ac:dyDescent="0.3">
      <c r="A8" s="36"/>
      <c r="B8" s="110"/>
      <c r="C8" s="104"/>
      <c r="D8" s="104"/>
      <c r="E8" s="104"/>
      <c r="F8" s="108"/>
      <c r="G8" s="38"/>
    </row>
    <row r="9" spans="1:7" s="28" customFormat="1" ht="19.5" customHeight="1" x14ac:dyDescent="0.25">
      <c r="A9" s="36"/>
      <c r="B9" s="98" t="s">
        <v>89</v>
      </c>
      <c r="C9" s="99"/>
      <c r="D9" s="99"/>
      <c r="E9" s="99"/>
      <c r="F9" s="99"/>
      <c r="G9" s="37"/>
    </row>
    <row r="10" spans="1:7" s="28" customFormat="1" ht="27" customHeight="1" thickBot="1" x14ac:dyDescent="0.3">
      <c r="A10" s="36"/>
      <c r="B10" s="103" t="s">
        <v>119</v>
      </c>
      <c r="C10" s="104"/>
      <c r="D10" s="104"/>
      <c r="E10" s="104"/>
      <c r="F10" s="104"/>
      <c r="G10" s="38"/>
    </row>
    <row r="11" spans="1:7" s="28" customFormat="1" ht="19.899999999999999" customHeight="1" x14ac:dyDescent="0.25">
      <c r="A11" s="36"/>
      <c r="B11" s="98" t="s">
        <v>90</v>
      </c>
      <c r="C11" s="99"/>
      <c r="D11" s="99"/>
      <c r="E11" s="99"/>
      <c r="F11" s="99"/>
      <c r="G11" s="37"/>
    </row>
    <row r="12" spans="1:7" s="28" customFormat="1" ht="39.75" customHeight="1" thickBot="1" x14ac:dyDescent="0.3">
      <c r="A12" s="36"/>
      <c r="B12" s="107"/>
      <c r="C12" s="104"/>
      <c r="D12" s="104"/>
      <c r="E12" s="104"/>
      <c r="F12" s="108"/>
      <c r="G12" s="39"/>
    </row>
    <row r="13" spans="1:7" s="28" customFormat="1" ht="19.5" customHeight="1" x14ac:dyDescent="0.25">
      <c r="A13" s="36"/>
      <c r="B13" s="40"/>
      <c r="C13" s="41"/>
      <c r="D13" s="41"/>
      <c r="E13" s="41"/>
      <c r="F13" s="41"/>
      <c r="G13" s="42"/>
    </row>
    <row r="14" spans="1:7" s="14" customFormat="1" ht="19.5" customHeight="1" x14ac:dyDescent="0.25">
      <c r="B14" s="101" t="s">
        <v>91</v>
      </c>
      <c r="C14" s="96"/>
      <c r="D14" s="44" t="s">
        <v>55</v>
      </c>
      <c r="E14" s="44" t="s">
        <v>44</v>
      </c>
      <c r="F14" s="45" t="s">
        <v>92</v>
      </c>
      <c r="G14" s="16"/>
    </row>
    <row r="15" spans="1:7" s="14" customFormat="1" ht="19.5" customHeight="1" x14ac:dyDescent="0.25">
      <c r="B15" s="101" t="s">
        <v>93</v>
      </c>
      <c r="C15" s="96"/>
      <c r="D15" s="46">
        <f>COUNTIF(TestcaseTabelle[DUT ROLE], "devA")</f>
        <v>22</v>
      </c>
      <c r="E15" s="46">
        <f>COUNTIF(TestcaseTabelle[DUT ROLE], "devZ")</f>
        <v>18</v>
      </c>
      <c r="F15" s="46">
        <f>COUNTIF(TestcaseTabelle[Test ID], "*TC_*")</f>
        <v>40</v>
      </c>
      <c r="G15" s="16"/>
    </row>
    <row r="16" spans="1:7" s="14" customFormat="1" ht="19.5" customHeight="1" x14ac:dyDescent="0.25">
      <c r="B16" s="101" t="s">
        <v>94</v>
      </c>
      <c r="C16" s="96"/>
      <c r="D16" s="102">
        <f>IF(COUNT(TestcaseTabelle[TEST DATE])=0, 0, MAX(TestcaseTabelle[TEST DATE]) - MIN(TestcaseTabelle[TEST DATE]) + 1)</f>
        <v>0</v>
      </c>
      <c r="E16" s="94"/>
      <c r="F16" s="96"/>
      <c r="G16" s="16"/>
    </row>
    <row r="17" spans="2:7" s="14" customFormat="1" ht="19.5" customHeight="1" x14ac:dyDescent="0.25">
      <c r="B17" s="47"/>
      <c r="C17" s="47"/>
      <c r="D17" s="47"/>
      <c r="E17" s="47"/>
      <c r="F17" s="48"/>
      <c r="G17" s="16"/>
    </row>
    <row r="18" spans="2:7" s="14" customFormat="1" ht="19.5" customHeight="1" x14ac:dyDescent="0.25">
      <c r="B18" s="101" t="s">
        <v>95</v>
      </c>
      <c r="C18" s="96"/>
      <c r="D18" s="44" t="s">
        <v>55</v>
      </c>
      <c r="E18" s="44" t="s">
        <v>44</v>
      </c>
      <c r="F18" s="45" t="s">
        <v>92</v>
      </c>
      <c r="G18" s="16"/>
    </row>
    <row r="19" spans="2:7" ht="19.5" customHeight="1" x14ac:dyDescent="0.25">
      <c r="B19" s="101" t="s">
        <v>96</v>
      </c>
      <c r="C19" s="96"/>
      <c r="D19" s="49">
        <f>COUNTIFS(TestcaseTabelle[TEST VERDICT], "Passed", TestcaseTabelle[DUT ROLE], "devA") + COUNTIFS(TestcaseTabelle[TEST VERDICT], "Failed", TestcaseTabelle[DUT ROLE], "devA")</f>
        <v>0</v>
      </c>
      <c r="E19" s="49">
        <f>COUNTIFS(TestcaseTabelle[TEST VERDICT], "Passed", TestcaseTabelle[DUT ROLE], "devA") + COUNTIFS(TestcaseTabelle[TEST VERDICT], "Failed", TestcaseTabelle[DUT ROLE], "devZ")</f>
        <v>0</v>
      </c>
      <c r="F19" s="49">
        <f>COUNTIF(TestcaseTabelle[TEST VERDICT], "Passed") + COUNTIF(TestcaseTabelle[TEST VERDICT], "Failed")</f>
        <v>0</v>
      </c>
      <c r="G19" s="18"/>
    </row>
    <row r="20" spans="2:7" ht="19.5" customHeight="1" x14ac:dyDescent="0.25">
      <c r="B20" s="50"/>
      <c r="C20" s="43" t="s">
        <v>97</v>
      </c>
      <c r="D20" s="46">
        <f>COUNTIFS(TestcaseTabelle[TEST VERDICT], "Passed", TestcaseTabelle[DUT ROLE], "devA")</f>
        <v>0</v>
      </c>
      <c r="E20" s="46">
        <f>COUNTIFS(TestcaseTabelle[TEST VERDICT], "Passed", TestcaseTabelle[DUT ROLE], "devZ")</f>
        <v>0</v>
      </c>
      <c r="F20" s="46">
        <f>COUNTIF(TestcaseTabelle[TEST VERDICT], "Passed")</f>
        <v>0</v>
      </c>
    </row>
    <row r="21" spans="2:7" ht="19.5" customHeight="1" x14ac:dyDescent="0.25">
      <c r="B21" s="50"/>
      <c r="C21" s="51" t="s">
        <v>98</v>
      </c>
      <c r="D21" s="52">
        <f>IF(OR(D20=0,D19=0),0,D20/D19)</f>
        <v>0</v>
      </c>
      <c r="E21" s="52">
        <f>IF(OR(E20=0,E19=0),0,E20/E19)</f>
        <v>0</v>
      </c>
      <c r="F21" s="52">
        <f>IF(OR(F20=0,F19=0),0,F20/F19)</f>
        <v>0</v>
      </c>
    </row>
    <row r="22" spans="2:7" ht="19.5" customHeight="1" x14ac:dyDescent="0.25">
      <c r="B22" s="50"/>
      <c r="C22" s="43" t="s">
        <v>99</v>
      </c>
      <c r="D22" s="46">
        <f>COUNTIFS(TestcaseTabelle[TEST VERDICT], "Failed", TestcaseTabelle[DUT ROLE], "devA")</f>
        <v>0</v>
      </c>
      <c r="E22" s="46">
        <f>COUNTIFS(TestcaseTabelle[TEST VERDICT], "Failed", TestcaseTabelle[DUT ROLE], "devZ")</f>
        <v>0</v>
      </c>
      <c r="F22" s="46">
        <f>COUNTIF(TestcaseTabelle[TEST VERDICT], "Failed")</f>
        <v>0</v>
      </c>
    </row>
    <row r="23" spans="2:7" ht="19.5" customHeight="1" x14ac:dyDescent="0.25">
      <c r="B23" s="50"/>
      <c r="C23" s="51" t="s">
        <v>100</v>
      </c>
      <c r="D23" s="52">
        <f>IF(OR(D22=0,D19=0),0,D22/D19)</f>
        <v>0</v>
      </c>
      <c r="E23" s="52">
        <f>IF(OR(E22=0,E19=0),0,E22/E19)</f>
        <v>0</v>
      </c>
      <c r="F23" s="52">
        <f>IF(OR(F22=0,F19=0),0,F22/F19)</f>
        <v>0</v>
      </c>
    </row>
    <row r="24" spans="2:7" ht="19.5" customHeight="1" x14ac:dyDescent="0.25">
      <c r="B24" s="50"/>
      <c r="C24" s="43" t="s">
        <v>101</v>
      </c>
      <c r="D24" s="46">
        <f>COUNTIFS(TestcaseTabelle[TEST VERDICT], "Not applicable", TestcaseTabelle[DUT ROLE], "devA")</f>
        <v>0</v>
      </c>
      <c r="E24" s="46">
        <f>COUNTIFS(TestcaseTabelle[TEST VERDICT], "Not applicable", TestcaseTabelle[DUT ROLE], "devZ")</f>
        <v>0</v>
      </c>
      <c r="F24" s="46">
        <f>COUNTIF(TestcaseTabelle[TEST VERDICT], "Not applicable")</f>
        <v>0</v>
      </c>
    </row>
    <row r="25" spans="2:7" ht="19.5" customHeight="1" x14ac:dyDescent="0.25">
      <c r="B25" s="50"/>
      <c r="C25" s="51" t="s">
        <v>102</v>
      </c>
      <c r="D25" s="52">
        <f>IF(OR(D24=0,D19=0),0,D24/D15)</f>
        <v>0</v>
      </c>
      <c r="E25" s="52">
        <f>IF(OR(E24=0,E19=0),0,E24/E15)</f>
        <v>0</v>
      </c>
      <c r="F25" s="52">
        <f>IF(OR(F24=0,F19=0),0,F24/F19)</f>
        <v>0</v>
      </c>
    </row>
    <row r="26" spans="2:7" ht="12" customHeight="1" x14ac:dyDescent="0.25"/>
    <row r="27" spans="2:7" ht="19.5" hidden="1" customHeight="1" x14ac:dyDescent="0.25"/>
  </sheetData>
  <mergeCells count="17">
    <mergeCell ref="B15:C15"/>
    <mergeCell ref="B9:F9"/>
    <mergeCell ref="C1:F1"/>
    <mergeCell ref="B19:C19"/>
    <mergeCell ref="D16:F16"/>
    <mergeCell ref="B10:F10"/>
    <mergeCell ref="B18:C18"/>
    <mergeCell ref="B3:F3"/>
    <mergeCell ref="B11:F11"/>
    <mergeCell ref="B12:F12"/>
    <mergeCell ref="B4:F4"/>
    <mergeCell ref="B6:F6"/>
    <mergeCell ref="B14:C14"/>
    <mergeCell ref="B5:F5"/>
    <mergeCell ref="B8:F8"/>
    <mergeCell ref="B7:F7"/>
    <mergeCell ref="B16:C16"/>
  </mergeCells>
  <dataValidations count="1">
    <dataValidation type="list" allowBlank="1" showInputMessage="1" showErrorMessage="1" sqref="B8:F8" xr:uid="{00000000-0002-0000-0000-000000000000}">
      <formula1>"GCPH,EMS,EMOB,HVAC,INV,DOMA"</formula1>
    </dataValidation>
  </dataValidations>
  <pageMargins left="0.7" right="0.7" top="0.75" bottom="0.75" header="0.3" footer="0.3"/>
  <pageSetup paperSize="9" scale="9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  <pageSetUpPr fitToPage="1"/>
  </sheetPr>
  <dimension ref="A1:O82"/>
  <sheetViews>
    <sheetView zoomScaleNormal="100" workbookViewId="0"/>
  </sheetViews>
  <sheetFormatPr baseColWidth="10" defaultColWidth="10.85546875" defaultRowHeight="15" x14ac:dyDescent="0.25"/>
  <cols>
    <col min="1" max="1" width="3" style="1" customWidth="1"/>
    <col min="2" max="2" width="33.28515625" style="1" bestFit="1" customWidth="1"/>
    <col min="3" max="3" width="13.7109375" style="1" customWidth="1"/>
    <col min="4" max="5" width="20.7109375" style="1" customWidth="1"/>
    <col min="6" max="6" width="93.7109375" style="1" customWidth="1"/>
    <col min="7" max="13" width="20.7109375" style="1" customWidth="1"/>
    <col min="14" max="14" width="47.5703125" style="1" customWidth="1"/>
    <col min="15" max="41" width="20.7109375" style="1" customWidth="1"/>
    <col min="42" max="43" width="10.85546875" style="1" customWidth="1"/>
    <col min="44" max="16384" width="10.85546875" style="1"/>
  </cols>
  <sheetData>
    <row r="1" spans="1:13" ht="45" customHeight="1" x14ac:dyDescent="0.25">
      <c r="B1" s="91" t="s">
        <v>121</v>
      </c>
      <c r="C1" s="92"/>
      <c r="D1" s="92"/>
      <c r="E1" s="92"/>
      <c r="F1" s="92"/>
      <c r="G1" s="4"/>
      <c r="H1" s="12"/>
      <c r="I1" s="11"/>
      <c r="J1" s="11"/>
      <c r="K1" s="11"/>
      <c r="L1" s="11"/>
    </row>
    <row r="2" spans="1:13" ht="19.5" customHeight="1" x14ac:dyDescent="0.25">
      <c r="B2" s="6"/>
      <c r="C2" s="6"/>
      <c r="D2" s="6"/>
      <c r="E2" s="2"/>
      <c r="F2" s="2"/>
      <c r="G2" s="2"/>
      <c r="H2" s="10"/>
      <c r="I2" s="11"/>
      <c r="J2" s="11"/>
      <c r="K2" s="11"/>
      <c r="L2" s="11"/>
    </row>
    <row r="3" spans="1:13" ht="19.5" customHeight="1" x14ac:dyDescent="0.25">
      <c r="B3" s="93" t="s">
        <v>0</v>
      </c>
      <c r="C3" s="94"/>
      <c r="D3" s="94"/>
      <c r="E3" s="7" t="s">
        <v>1</v>
      </c>
      <c r="F3" s="56" t="s">
        <v>2</v>
      </c>
      <c r="G3" s="8"/>
      <c r="M3" s="8"/>
    </row>
    <row r="4" spans="1:13" ht="19.5" customHeight="1" x14ac:dyDescent="0.25">
      <c r="B4" s="58" t="s">
        <v>3</v>
      </c>
      <c r="C4" s="95"/>
      <c r="D4" s="96"/>
      <c r="E4" s="57" t="s">
        <v>4</v>
      </c>
      <c r="F4" s="59" t="s">
        <v>5</v>
      </c>
      <c r="G4" s="8"/>
      <c r="M4" s="8"/>
    </row>
    <row r="5" spans="1:13" ht="19.5" customHeight="1" x14ac:dyDescent="0.25">
      <c r="B5" s="58" t="s">
        <v>6</v>
      </c>
      <c r="C5" s="95"/>
      <c r="D5" s="96"/>
      <c r="E5" s="57" t="s">
        <v>7</v>
      </c>
      <c r="F5" s="59" t="s">
        <v>8</v>
      </c>
      <c r="G5" s="8"/>
      <c r="M5" s="8"/>
    </row>
    <row r="6" spans="1:13" ht="27" customHeight="1" x14ac:dyDescent="0.25">
      <c r="B6" s="58" t="s">
        <v>9</v>
      </c>
      <c r="C6" s="95"/>
      <c r="D6" s="96"/>
      <c r="E6" s="57" t="s">
        <v>7</v>
      </c>
      <c r="F6" s="60" t="s">
        <v>10</v>
      </c>
      <c r="G6" s="8"/>
      <c r="M6" s="8"/>
    </row>
    <row r="7" spans="1:13" ht="19.5" customHeight="1" x14ac:dyDescent="0.25">
      <c r="B7" s="58" t="s">
        <v>11</v>
      </c>
      <c r="C7" s="95"/>
      <c r="D7" s="96"/>
      <c r="E7" s="57" t="s">
        <v>7</v>
      </c>
      <c r="F7" s="59" t="s">
        <v>12</v>
      </c>
      <c r="G7" s="8"/>
      <c r="M7" s="8"/>
    </row>
    <row r="8" spans="1:13" ht="19.5" customHeight="1" x14ac:dyDescent="0.25">
      <c r="C8" s="97"/>
      <c r="D8" s="94"/>
      <c r="E8" s="61"/>
      <c r="F8" s="62"/>
    </row>
    <row r="9" spans="1:13" ht="19.5" customHeight="1" x14ac:dyDescent="0.25">
      <c r="B9" s="93" t="s">
        <v>13</v>
      </c>
      <c r="C9" s="94"/>
      <c r="D9" s="94"/>
      <c r="E9" s="63" t="s">
        <v>1</v>
      </c>
      <c r="F9" s="64" t="s">
        <v>2</v>
      </c>
      <c r="G9" s="8"/>
    </row>
    <row r="10" spans="1:13" ht="19.5" customHeight="1" x14ac:dyDescent="0.25">
      <c r="B10" s="54" t="s">
        <v>14</v>
      </c>
      <c r="C10" s="95"/>
      <c r="D10" s="96"/>
      <c r="E10" s="57" t="s">
        <v>4</v>
      </c>
      <c r="F10" s="59" t="s">
        <v>15</v>
      </c>
      <c r="G10" s="8"/>
    </row>
    <row r="11" spans="1:13" ht="19.5" customHeight="1" x14ac:dyDescent="0.25">
      <c r="B11" s="54" t="s">
        <v>16</v>
      </c>
      <c r="C11" s="95"/>
      <c r="D11" s="96"/>
      <c r="E11" s="57" t="s">
        <v>4</v>
      </c>
      <c r="F11" s="59" t="s">
        <v>17</v>
      </c>
      <c r="G11" s="8"/>
    </row>
    <row r="12" spans="1:13" ht="19.5" customHeight="1" x14ac:dyDescent="0.25">
      <c r="B12" s="81" t="s">
        <v>18</v>
      </c>
      <c r="C12" s="95"/>
      <c r="D12" s="96"/>
      <c r="E12" s="57" t="s">
        <v>4</v>
      </c>
      <c r="F12" s="59" t="s">
        <v>19</v>
      </c>
      <c r="G12" s="8"/>
    </row>
    <row r="13" spans="1:13" ht="19.5" customHeight="1" x14ac:dyDescent="0.25">
      <c r="A13" s="80"/>
      <c r="B13" s="83" t="s">
        <v>20</v>
      </c>
      <c r="C13" s="95"/>
      <c r="D13" s="96"/>
      <c r="E13" s="57" t="s">
        <v>4</v>
      </c>
      <c r="F13" s="59" t="s">
        <v>21</v>
      </c>
      <c r="G13" s="8"/>
    </row>
    <row r="14" spans="1:13" ht="19.5" customHeight="1" x14ac:dyDescent="0.25">
      <c r="B14" s="82" t="s">
        <v>22</v>
      </c>
      <c r="C14" s="95"/>
      <c r="D14" s="96"/>
      <c r="E14" s="57" t="s">
        <v>4</v>
      </c>
      <c r="F14" s="59" t="s">
        <v>23</v>
      </c>
      <c r="G14" s="8"/>
    </row>
    <row r="15" spans="1:13" ht="19.5" customHeight="1" x14ac:dyDescent="0.25">
      <c r="B15" s="54" t="s">
        <v>24</v>
      </c>
      <c r="C15" s="95"/>
      <c r="D15" s="96"/>
      <c r="E15" s="57" t="s">
        <v>25</v>
      </c>
      <c r="F15" s="60" t="s">
        <v>26</v>
      </c>
      <c r="G15" s="8"/>
    </row>
    <row r="16" spans="1:13" ht="19.5" customHeight="1" x14ac:dyDescent="0.25">
      <c r="D16" s="6"/>
      <c r="E16" s="65"/>
      <c r="F16" s="66"/>
    </row>
    <row r="17" spans="2:15" ht="19.5" customHeight="1" x14ac:dyDescent="0.25">
      <c r="B17" s="93" t="s">
        <v>27</v>
      </c>
      <c r="C17" s="94"/>
      <c r="D17" s="94"/>
      <c r="E17" s="63" t="s">
        <v>1</v>
      </c>
      <c r="F17" s="64" t="s">
        <v>2</v>
      </c>
      <c r="G17" s="8"/>
    </row>
    <row r="18" spans="2:15" ht="67.5" x14ac:dyDescent="0.25">
      <c r="B18" s="54" t="s">
        <v>122</v>
      </c>
      <c r="C18" s="95"/>
      <c r="D18" s="96"/>
      <c r="E18" s="57" t="s">
        <v>4</v>
      </c>
      <c r="F18" s="121" t="s">
        <v>123</v>
      </c>
      <c r="G18" s="8"/>
    </row>
    <row r="19" spans="2:15" ht="27" x14ac:dyDescent="0.25">
      <c r="B19" s="54" t="s">
        <v>28</v>
      </c>
      <c r="C19" s="95"/>
      <c r="D19" s="96"/>
      <c r="E19" s="57" t="s">
        <v>25</v>
      </c>
      <c r="F19" s="60" t="s">
        <v>125</v>
      </c>
      <c r="G19" s="8"/>
    </row>
    <row r="20" spans="2:15" ht="19.5" customHeight="1" x14ac:dyDescent="0.25">
      <c r="B20" s="54" t="s">
        <v>29</v>
      </c>
      <c r="C20" s="95"/>
      <c r="D20" s="96"/>
      <c r="E20" s="57" t="s">
        <v>4</v>
      </c>
      <c r="F20" s="59" t="s">
        <v>30</v>
      </c>
      <c r="G20" s="8"/>
    </row>
    <row r="21" spans="2:15" ht="19.5" customHeight="1" x14ac:dyDescent="0.25">
      <c r="B21" s="54" t="s">
        <v>31</v>
      </c>
      <c r="C21" s="95"/>
      <c r="D21" s="96"/>
      <c r="E21" s="57" t="s">
        <v>4</v>
      </c>
      <c r="F21" s="59" t="s">
        <v>32</v>
      </c>
      <c r="G21" s="8"/>
    </row>
    <row r="22" spans="2:15" ht="19.5" customHeight="1" x14ac:dyDescent="0.25">
      <c r="B22" s="54" t="s">
        <v>33</v>
      </c>
      <c r="C22" s="95"/>
      <c r="D22" s="96"/>
      <c r="E22" s="57" t="s">
        <v>4</v>
      </c>
      <c r="F22" s="59" t="s">
        <v>34</v>
      </c>
      <c r="G22" s="8"/>
    </row>
    <row r="23" spans="2:15" ht="81" x14ac:dyDescent="0.25">
      <c r="B23" s="54" t="s">
        <v>35</v>
      </c>
      <c r="C23" s="95"/>
      <c r="D23" s="96"/>
      <c r="E23" s="57" t="s">
        <v>4</v>
      </c>
      <c r="F23" s="60" t="s">
        <v>124</v>
      </c>
      <c r="G23" s="8"/>
    </row>
    <row r="24" spans="2:15" ht="19.5" customHeight="1" x14ac:dyDescent="0.25">
      <c r="B24" s="54" t="s">
        <v>36</v>
      </c>
      <c r="C24" s="95"/>
      <c r="D24" s="96"/>
      <c r="E24" s="57" t="s">
        <v>4</v>
      </c>
      <c r="F24" s="60" t="s">
        <v>37</v>
      </c>
      <c r="G24" s="8"/>
    </row>
    <row r="25" spans="2:15" ht="19.5" customHeight="1" x14ac:dyDescent="0.25">
      <c r="D25" s="6"/>
      <c r="E25" s="6"/>
      <c r="F25" s="6"/>
      <c r="G25" s="6"/>
      <c r="H25" s="10"/>
      <c r="I25" s="9"/>
      <c r="J25" s="9"/>
      <c r="K25" s="9"/>
      <c r="L25" s="9"/>
    </row>
    <row r="26" spans="2:15" ht="39" customHeight="1" x14ac:dyDescent="0.25">
      <c r="B26" s="53" t="s">
        <v>38</v>
      </c>
      <c r="C26" s="3" t="s">
        <v>39</v>
      </c>
      <c r="D26" s="5" t="s">
        <v>40</v>
      </c>
      <c r="E26" s="13" t="s">
        <v>41</v>
      </c>
      <c r="F26" s="55" t="s">
        <v>42</v>
      </c>
      <c r="G26" s="8"/>
    </row>
    <row r="27" spans="2:15" ht="19.5" customHeight="1" x14ac:dyDescent="0.25">
      <c r="B27" s="67" t="s">
        <v>43</v>
      </c>
      <c r="C27" s="68" t="s">
        <v>44</v>
      </c>
      <c r="D27" s="71"/>
      <c r="E27" s="72"/>
      <c r="F27" s="77"/>
      <c r="G27" s="8"/>
      <c r="I27" s="8"/>
      <c r="O27" s="8"/>
    </row>
    <row r="28" spans="2:15" ht="19.5" customHeight="1" x14ac:dyDescent="0.25">
      <c r="B28" s="67" t="s">
        <v>45</v>
      </c>
      <c r="C28" s="68" t="s">
        <v>44</v>
      </c>
      <c r="D28" s="71"/>
      <c r="E28" s="72"/>
      <c r="F28" s="77"/>
      <c r="G28" s="8"/>
      <c r="I28" s="8"/>
    </row>
    <row r="29" spans="2:15" ht="19.5" customHeight="1" x14ac:dyDescent="0.25">
      <c r="B29" s="67" t="s">
        <v>46</v>
      </c>
      <c r="C29" s="68" t="s">
        <v>44</v>
      </c>
      <c r="D29" s="71"/>
      <c r="E29" s="72"/>
      <c r="F29" s="77"/>
      <c r="G29" s="8"/>
      <c r="I29" s="8"/>
    </row>
    <row r="30" spans="2:15" ht="19.5" customHeight="1" x14ac:dyDescent="0.25">
      <c r="B30" s="67" t="s">
        <v>47</v>
      </c>
      <c r="C30" s="68" t="s">
        <v>44</v>
      </c>
      <c r="D30" s="71"/>
      <c r="E30" s="72"/>
      <c r="F30" s="77"/>
      <c r="G30" s="8"/>
      <c r="I30" s="8"/>
    </row>
    <row r="31" spans="2:15" ht="19.5" customHeight="1" x14ac:dyDescent="0.25">
      <c r="B31" s="67" t="s">
        <v>48</v>
      </c>
      <c r="C31" s="68" t="s">
        <v>44</v>
      </c>
      <c r="D31" s="71"/>
      <c r="E31" s="72"/>
      <c r="F31" s="77"/>
      <c r="G31" s="8"/>
      <c r="I31" s="8"/>
    </row>
    <row r="32" spans="2:15" ht="19.5" customHeight="1" x14ac:dyDescent="0.25">
      <c r="B32" s="67" t="s">
        <v>49</v>
      </c>
      <c r="C32" s="68" t="s">
        <v>44</v>
      </c>
      <c r="D32" s="71"/>
      <c r="E32" s="72"/>
      <c r="F32" s="77"/>
      <c r="G32" s="8"/>
      <c r="I32" s="8"/>
    </row>
    <row r="33" spans="2:9" ht="19.5" customHeight="1" x14ac:dyDescent="0.25">
      <c r="B33" s="67" t="s">
        <v>50</v>
      </c>
      <c r="C33" s="68" t="s">
        <v>44</v>
      </c>
      <c r="D33" s="71"/>
      <c r="E33" s="72"/>
      <c r="F33" s="77"/>
      <c r="G33" s="8"/>
      <c r="I33" s="8"/>
    </row>
    <row r="34" spans="2:9" ht="19.5" customHeight="1" x14ac:dyDescent="0.25">
      <c r="B34" s="67" t="s">
        <v>51</v>
      </c>
      <c r="C34" s="68" t="s">
        <v>44</v>
      </c>
      <c r="D34" s="71"/>
      <c r="E34" s="72"/>
      <c r="F34" s="77"/>
      <c r="G34" s="8"/>
      <c r="I34" s="8"/>
    </row>
    <row r="35" spans="2:9" ht="19.5" customHeight="1" x14ac:dyDescent="0.25">
      <c r="B35" s="67" t="s">
        <v>52</v>
      </c>
      <c r="C35" s="68" t="s">
        <v>44</v>
      </c>
      <c r="D35" s="71"/>
      <c r="E35" s="72"/>
      <c r="F35" s="77"/>
      <c r="G35" s="8"/>
      <c r="I35" s="8"/>
    </row>
    <row r="36" spans="2:9" ht="19.5" customHeight="1" x14ac:dyDescent="0.25">
      <c r="B36" s="67" t="s">
        <v>53</v>
      </c>
      <c r="C36" s="68" t="s">
        <v>44</v>
      </c>
      <c r="D36" s="71"/>
      <c r="E36" s="72"/>
      <c r="F36" s="77"/>
      <c r="G36" s="8"/>
      <c r="I36" s="8"/>
    </row>
    <row r="37" spans="2:9" ht="19.5" customHeight="1" x14ac:dyDescent="0.25">
      <c r="B37" s="67" t="s">
        <v>54</v>
      </c>
      <c r="C37" s="68" t="s">
        <v>55</v>
      </c>
      <c r="D37" s="71"/>
      <c r="E37" s="72"/>
      <c r="F37" s="77"/>
      <c r="G37" s="8"/>
      <c r="I37" s="8"/>
    </row>
    <row r="38" spans="2:9" ht="19.5" customHeight="1" x14ac:dyDescent="0.25">
      <c r="B38" s="67" t="s">
        <v>56</v>
      </c>
      <c r="C38" s="68" t="s">
        <v>55</v>
      </c>
      <c r="D38" s="71"/>
      <c r="E38" s="72"/>
      <c r="F38" s="77"/>
      <c r="G38" s="8"/>
      <c r="I38" s="8"/>
    </row>
    <row r="39" spans="2:9" ht="19.5" customHeight="1" x14ac:dyDescent="0.25">
      <c r="B39" s="67" t="s">
        <v>57</v>
      </c>
      <c r="C39" s="68" t="s">
        <v>55</v>
      </c>
      <c r="D39" s="71"/>
      <c r="E39" s="72"/>
      <c r="F39" s="77"/>
      <c r="G39" s="8"/>
      <c r="I39" s="8"/>
    </row>
    <row r="40" spans="2:9" ht="19.5" customHeight="1" x14ac:dyDescent="0.25">
      <c r="B40" s="67" t="s">
        <v>58</v>
      </c>
      <c r="C40" s="68" t="s">
        <v>55</v>
      </c>
      <c r="D40" s="71"/>
      <c r="E40" s="72"/>
      <c r="F40" s="77"/>
      <c r="G40" s="8"/>
      <c r="I40" s="8"/>
    </row>
    <row r="41" spans="2:9" ht="19.5" customHeight="1" x14ac:dyDescent="0.25">
      <c r="B41" s="67" t="s">
        <v>59</v>
      </c>
      <c r="C41" s="68" t="s">
        <v>55</v>
      </c>
      <c r="D41" s="71"/>
      <c r="E41" s="72"/>
      <c r="F41" s="77"/>
      <c r="G41" s="8"/>
      <c r="I41" s="8"/>
    </row>
    <row r="42" spans="2:9" ht="19.5" customHeight="1" x14ac:dyDescent="0.25">
      <c r="B42" s="67" t="s">
        <v>60</v>
      </c>
      <c r="C42" s="68" t="s">
        <v>55</v>
      </c>
      <c r="D42" s="71"/>
      <c r="E42" s="72"/>
      <c r="F42" s="77"/>
      <c r="G42" s="8"/>
      <c r="I42" s="8"/>
    </row>
    <row r="43" spans="2:9" ht="19.5" customHeight="1" x14ac:dyDescent="0.25">
      <c r="B43" s="67" t="s">
        <v>61</v>
      </c>
      <c r="C43" s="68" t="s">
        <v>44</v>
      </c>
      <c r="D43" s="71"/>
      <c r="E43" s="72"/>
      <c r="F43" s="77"/>
      <c r="G43" s="8"/>
      <c r="I43" s="8"/>
    </row>
    <row r="44" spans="2:9" ht="19.5" customHeight="1" x14ac:dyDescent="0.25">
      <c r="B44" s="67" t="s">
        <v>62</v>
      </c>
      <c r="C44" s="68" t="s">
        <v>55</v>
      </c>
      <c r="D44" s="71"/>
      <c r="E44" s="72"/>
      <c r="F44" s="77"/>
      <c r="G44" s="8"/>
    </row>
    <row r="45" spans="2:9" ht="19.5" customHeight="1" x14ac:dyDescent="0.25">
      <c r="B45" s="67" t="s">
        <v>63</v>
      </c>
      <c r="C45" s="68" t="s">
        <v>55</v>
      </c>
      <c r="D45" s="71"/>
      <c r="E45" s="72"/>
      <c r="F45" s="77"/>
      <c r="G45" s="8"/>
    </row>
    <row r="46" spans="2:9" ht="19.5" customHeight="1" x14ac:dyDescent="0.25">
      <c r="B46" s="67" t="s">
        <v>64</v>
      </c>
      <c r="C46" s="68" t="s">
        <v>55</v>
      </c>
      <c r="D46" s="71"/>
      <c r="E46" s="72"/>
      <c r="F46" s="77"/>
      <c r="G46" s="8"/>
    </row>
    <row r="47" spans="2:9" ht="19.5" customHeight="1" x14ac:dyDescent="0.25">
      <c r="B47" s="67" t="s">
        <v>65</v>
      </c>
      <c r="C47" s="68" t="s">
        <v>55</v>
      </c>
      <c r="D47" s="71"/>
      <c r="E47" s="72"/>
      <c r="F47" s="77"/>
      <c r="G47" s="8"/>
    </row>
    <row r="48" spans="2:9" ht="19.5" customHeight="1" x14ac:dyDescent="0.25">
      <c r="B48" s="67" t="s">
        <v>66</v>
      </c>
      <c r="C48" s="68" t="s">
        <v>55</v>
      </c>
      <c r="D48" s="71"/>
      <c r="E48" s="72"/>
      <c r="F48" s="77"/>
      <c r="G48" s="8"/>
    </row>
    <row r="49" spans="2:7" ht="19.5" customHeight="1" x14ac:dyDescent="0.25">
      <c r="B49" s="67" t="s">
        <v>67</v>
      </c>
      <c r="C49" s="68" t="s">
        <v>55</v>
      </c>
      <c r="D49" s="71"/>
      <c r="E49" s="72"/>
      <c r="F49" s="77"/>
      <c r="G49" s="8"/>
    </row>
    <row r="50" spans="2:7" ht="19.5" customHeight="1" x14ac:dyDescent="0.25">
      <c r="B50" s="67" t="s">
        <v>68</v>
      </c>
      <c r="C50" s="68" t="s">
        <v>55</v>
      </c>
      <c r="D50" s="71"/>
      <c r="E50" s="72"/>
      <c r="F50" s="77"/>
      <c r="G50" s="8"/>
    </row>
    <row r="51" spans="2:7" ht="19.5" customHeight="1" x14ac:dyDescent="0.25">
      <c r="B51" s="67" t="s">
        <v>69</v>
      </c>
      <c r="C51" s="68" t="s">
        <v>55</v>
      </c>
      <c r="D51" s="71"/>
      <c r="E51" s="72"/>
      <c r="F51" s="77"/>
      <c r="G51" s="8"/>
    </row>
    <row r="52" spans="2:7" ht="19.5" customHeight="1" x14ac:dyDescent="0.25">
      <c r="B52" s="67" t="s">
        <v>70</v>
      </c>
      <c r="C52" s="68" t="s">
        <v>44</v>
      </c>
      <c r="D52" s="71"/>
      <c r="E52" s="72"/>
      <c r="F52" s="77"/>
      <c r="G52" s="8"/>
    </row>
    <row r="53" spans="2:7" ht="19.5" customHeight="1" x14ac:dyDescent="0.25">
      <c r="B53" s="67" t="s">
        <v>71</v>
      </c>
      <c r="C53" s="68" t="s">
        <v>55</v>
      </c>
      <c r="D53" s="71"/>
      <c r="E53" s="72"/>
      <c r="F53" s="77"/>
      <c r="G53" s="8"/>
    </row>
    <row r="54" spans="2:7" ht="19.5" customHeight="1" x14ac:dyDescent="0.25">
      <c r="B54" s="67" t="s">
        <v>72</v>
      </c>
      <c r="C54" s="68" t="s">
        <v>44</v>
      </c>
      <c r="D54" s="71"/>
      <c r="E54" s="72"/>
      <c r="F54" s="77"/>
      <c r="G54" s="8"/>
    </row>
    <row r="55" spans="2:7" ht="19.5" customHeight="1" x14ac:dyDescent="0.25">
      <c r="B55" s="67" t="s">
        <v>73</v>
      </c>
      <c r="C55" s="68" t="s">
        <v>44</v>
      </c>
      <c r="D55" s="71"/>
      <c r="E55" s="72"/>
      <c r="F55" s="77"/>
      <c r="G55" s="8"/>
    </row>
    <row r="56" spans="2:7" ht="19.5" customHeight="1" x14ac:dyDescent="0.25">
      <c r="B56" s="67" t="s">
        <v>74</v>
      </c>
      <c r="C56" s="68" t="s">
        <v>55</v>
      </c>
      <c r="D56" s="71"/>
      <c r="E56" s="72"/>
      <c r="F56" s="77"/>
      <c r="G56" s="8"/>
    </row>
    <row r="57" spans="2:7" ht="19.5" customHeight="1" x14ac:dyDescent="0.25">
      <c r="B57" s="67" t="s">
        <v>75</v>
      </c>
      <c r="C57" s="68" t="s">
        <v>55</v>
      </c>
      <c r="D57" s="71"/>
      <c r="E57" s="72"/>
      <c r="F57" s="77"/>
      <c r="G57" s="8"/>
    </row>
    <row r="58" spans="2:7" ht="19.5" customHeight="1" x14ac:dyDescent="0.25">
      <c r="B58" s="67" t="s">
        <v>76</v>
      </c>
      <c r="C58" s="68" t="s">
        <v>55</v>
      </c>
      <c r="D58" s="71"/>
      <c r="E58" s="72"/>
      <c r="F58" s="77"/>
      <c r="G58" s="8"/>
    </row>
    <row r="59" spans="2:7" ht="19.5" customHeight="1" x14ac:dyDescent="0.25">
      <c r="B59" s="67" t="s">
        <v>77</v>
      </c>
      <c r="C59" s="68" t="s">
        <v>55</v>
      </c>
      <c r="D59" s="71"/>
      <c r="E59" s="72"/>
      <c r="F59" s="77"/>
      <c r="G59" s="8"/>
    </row>
    <row r="60" spans="2:7" ht="19.5" customHeight="1" x14ac:dyDescent="0.25">
      <c r="B60" s="67" t="s">
        <v>78</v>
      </c>
      <c r="C60" s="68" t="s">
        <v>44</v>
      </c>
      <c r="D60" s="71"/>
      <c r="E60" s="72"/>
      <c r="F60" s="77"/>
      <c r="G60" s="8"/>
    </row>
    <row r="61" spans="2:7" ht="19.5" customHeight="1" x14ac:dyDescent="0.25">
      <c r="B61" s="67" t="s">
        <v>79</v>
      </c>
      <c r="C61" s="68" t="s">
        <v>55</v>
      </c>
      <c r="D61" s="71"/>
      <c r="E61" s="72"/>
      <c r="F61" s="77"/>
      <c r="G61" s="8"/>
    </row>
    <row r="62" spans="2:7" ht="19.5" customHeight="1" x14ac:dyDescent="0.25">
      <c r="B62" s="67" t="s">
        <v>80</v>
      </c>
      <c r="C62" s="68" t="s">
        <v>55</v>
      </c>
      <c r="D62" s="71"/>
      <c r="E62" s="72"/>
      <c r="F62" s="77"/>
      <c r="G62" s="8"/>
    </row>
    <row r="63" spans="2:7" ht="19.5" customHeight="1" x14ac:dyDescent="0.25">
      <c r="B63" s="67" t="s">
        <v>81</v>
      </c>
      <c r="C63" s="68" t="s">
        <v>44</v>
      </c>
      <c r="D63" s="71"/>
      <c r="E63" s="72"/>
      <c r="F63" s="77"/>
      <c r="G63" s="8"/>
    </row>
    <row r="64" spans="2:7" ht="19.5" customHeight="1" x14ac:dyDescent="0.25">
      <c r="B64" s="67" t="s">
        <v>82</v>
      </c>
      <c r="C64" s="68" t="s">
        <v>44</v>
      </c>
      <c r="D64" s="71"/>
      <c r="E64" s="72"/>
      <c r="F64" s="77"/>
      <c r="G64" s="8"/>
    </row>
    <row r="65" spans="2:7" ht="19.5" customHeight="1" x14ac:dyDescent="0.25">
      <c r="B65" s="67" t="s">
        <v>83</v>
      </c>
      <c r="C65" s="68" t="s">
        <v>55</v>
      </c>
      <c r="D65" s="71"/>
      <c r="E65" s="72"/>
      <c r="F65" s="77"/>
      <c r="G65" s="8"/>
    </row>
    <row r="66" spans="2:7" ht="19.5" customHeight="1" x14ac:dyDescent="0.25">
      <c r="B66" s="69" t="s">
        <v>84</v>
      </c>
      <c r="C66" s="70" t="s">
        <v>44</v>
      </c>
      <c r="D66" s="73"/>
      <c r="E66" s="74"/>
      <c r="F66" s="77"/>
      <c r="G66" s="8"/>
    </row>
    <row r="67" spans="2:7" ht="19.5" customHeight="1" x14ac:dyDescent="0.25">
      <c r="F67" s="9"/>
    </row>
    <row r="68" spans="2:7" ht="19.5" customHeight="1" x14ac:dyDescent="0.25"/>
    <row r="69" spans="2:7" ht="19.5" customHeight="1" x14ac:dyDescent="0.25"/>
    <row r="70" spans="2:7" ht="19.5" customHeight="1" x14ac:dyDescent="0.25"/>
    <row r="71" spans="2:7" ht="19.5" customHeight="1" x14ac:dyDescent="0.25"/>
    <row r="72" spans="2:7" ht="19.5" customHeight="1" x14ac:dyDescent="0.25"/>
    <row r="73" spans="2:7" ht="19.5" customHeight="1" x14ac:dyDescent="0.25"/>
    <row r="74" spans="2:7" ht="19.5" customHeight="1" x14ac:dyDescent="0.25"/>
    <row r="75" spans="2:7" ht="19.5" customHeight="1" x14ac:dyDescent="0.25"/>
    <row r="76" spans="2:7" ht="19.5" customHeight="1" x14ac:dyDescent="0.25"/>
    <row r="77" spans="2:7" ht="19.5" customHeight="1" x14ac:dyDescent="0.25"/>
    <row r="78" spans="2:7" ht="19.5" customHeight="1" x14ac:dyDescent="0.25"/>
    <row r="79" spans="2:7" ht="19.5" customHeight="1" x14ac:dyDescent="0.25"/>
    <row r="80" spans="2:7" ht="19.5" customHeight="1" x14ac:dyDescent="0.25"/>
    <row r="81" ht="19.5" customHeight="1" x14ac:dyDescent="0.25"/>
    <row r="82" ht="19.5" customHeight="1" x14ac:dyDescent="0.25"/>
  </sheetData>
  <mergeCells count="22">
    <mergeCell ref="C24:D24"/>
    <mergeCell ref="C8:D8"/>
    <mergeCell ref="C21:D21"/>
    <mergeCell ref="C23:D23"/>
    <mergeCell ref="C22:D22"/>
    <mergeCell ref="C19:D19"/>
    <mergeCell ref="B1:F1"/>
    <mergeCell ref="B3:D3"/>
    <mergeCell ref="C7:D7"/>
    <mergeCell ref="C20:D20"/>
    <mergeCell ref="C13:D13"/>
    <mergeCell ref="C18:D18"/>
    <mergeCell ref="C4:D4"/>
    <mergeCell ref="C10:D10"/>
    <mergeCell ref="B9:D9"/>
    <mergeCell ref="C12:D12"/>
    <mergeCell ref="C11:D11"/>
    <mergeCell ref="C6:D6"/>
    <mergeCell ref="C15:D15"/>
    <mergeCell ref="C5:D5"/>
    <mergeCell ref="B17:D17"/>
    <mergeCell ref="C14:D14"/>
  </mergeCells>
  <conditionalFormatting sqref="C6:F7 C10:F15">
    <cfRule type="expression" dxfId="5" priority="5">
      <formula>$C$4="devZ"</formula>
    </cfRule>
  </conditionalFormatting>
  <conditionalFormatting sqref="C18:F24">
    <cfRule type="expression" dxfId="4" priority="6">
      <formula>$C$4="devA"</formula>
    </cfRule>
  </conditionalFormatting>
  <conditionalFormatting sqref="D27:F66">
    <cfRule type="expression" dxfId="3" priority="1" stopIfTrue="1">
      <formula>AND($C$4&lt;&gt;"",$C27&lt;&gt;$C$4)</formula>
    </cfRule>
    <cfRule type="expression" dxfId="2" priority="2" stopIfTrue="1">
      <formula>$E27="Not applicable"</formula>
    </cfRule>
  </conditionalFormatting>
  <conditionalFormatting sqref="E27:E66">
    <cfRule type="containsText" dxfId="1" priority="3" operator="containsText" text="Failed">
      <formula>NOT(ISERROR(SEARCH("Failed",E27)))</formula>
    </cfRule>
    <cfRule type="containsText" dxfId="0" priority="4" operator="containsText" text="Passed">
      <formula>NOT(ISERROR(SEARCH("Passed",E27)))</formula>
    </cfRule>
  </conditionalFormatting>
  <dataValidations count="7">
    <dataValidation type="list" allowBlank="1" showInputMessage="1" showErrorMessage="1" sqref="E27:E66" xr:uid="{00000000-0002-0000-0100-000000000000}">
      <formula1>"Passed,Failed,Not applicable"</formula1>
    </dataValidation>
    <dataValidation type="list" allowBlank="1" showInputMessage="1" showErrorMessage="1" sqref="C4" xr:uid="{00000000-0002-0000-0100-000001000000}">
      <formula1>"devA,devZ"</formula1>
    </dataValidation>
    <dataValidation type="list" allowBlank="1" showInputMessage="1" showErrorMessage="1" sqref="C22:D22" xr:uid="{00000000-0002-0000-0100-000002000000}">
      <formula1>"yes,no,unspecified"</formula1>
    </dataValidation>
    <dataValidation type="list" allowBlank="1" showInputMessage="1" showErrorMessage="1" sqref="C10:C14 C20:C22 C24:D24" xr:uid="{00000000-0002-0000-0100-000003000000}">
      <formula1>"yes,no"</formula1>
    </dataValidation>
    <dataValidation type="list" allowBlank="1" showInputMessage="1" showErrorMessage="1" sqref="C27:C66" xr:uid="{00000000-0002-0000-0100-000004000000}">
      <formula1>"devZ,devA"</formula1>
    </dataValidation>
    <dataValidation type="list" allowBlank="1" showInputMessage="1" showErrorMessage="1" sqref="C23:D23" xr:uid="{00000000-0002-0000-0100-000005000000}">
      <formula1>"Option 1,Option 2,unspecified"</formula1>
    </dataValidation>
    <dataValidation type="list" allowBlank="1" showInputMessage="1" showErrorMessage="1" sqref="C18:D18" xr:uid="{47199C19-B15A-48D4-9682-1A159AC54589}">
      <formula1>"Option 1,Option 2"</formula1>
    </dataValidation>
  </dataValidations>
  <pageMargins left="0.7" right="0.7" top="0.78740157499999996" bottom="0.78740157499999996" header="0.3" footer="0.3"/>
  <pageSetup paperSize="9" scale="47" fitToHeight="0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5">
    <tabColor theme="8" tint="0.59999389629810485"/>
    <pageSetUpPr fitToPage="1"/>
  </sheetPr>
  <dimension ref="A1:BD891"/>
  <sheetViews>
    <sheetView zoomScaleNormal="100" workbookViewId="0">
      <selection activeCell="C4" sqref="C4"/>
    </sheetView>
  </sheetViews>
  <sheetFormatPr baseColWidth="10" defaultColWidth="14.42578125" defaultRowHeight="15.75" customHeight="1" x14ac:dyDescent="0.2"/>
  <cols>
    <col min="1" max="1" width="3" style="28" customWidth="1"/>
    <col min="2" max="2" width="8.7109375" style="35" customWidth="1"/>
    <col min="3" max="3" width="20.7109375" style="29" customWidth="1"/>
    <col min="4" max="4" width="129.42578125" style="29" customWidth="1"/>
    <col min="5" max="12" width="14.42578125" style="29" customWidth="1"/>
    <col min="13" max="13" width="15.7109375" style="29" customWidth="1"/>
    <col min="14" max="20" width="14.42578125" style="29" customWidth="1"/>
    <col min="21" max="16384" width="14.42578125" style="29"/>
  </cols>
  <sheetData>
    <row r="1" spans="1:56" s="14" customFormat="1" ht="45" customHeight="1" x14ac:dyDescent="0.2">
      <c r="B1" s="100" t="s">
        <v>103</v>
      </c>
      <c r="C1" s="100"/>
      <c r="D1" s="100"/>
      <c r="E1" s="27"/>
      <c r="F1" s="27"/>
      <c r="G1" s="27"/>
      <c r="H1" s="27"/>
      <c r="I1" s="16"/>
      <c r="J1" s="16"/>
      <c r="K1" s="16"/>
      <c r="L1" s="17"/>
      <c r="M1" s="17"/>
      <c r="N1" s="15"/>
      <c r="O1" s="15"/>
      <c r="P1" s="15"/>
      <c r="Q1" s="15"/>
      <c r="R1" s="15"/>
      <c r="S1" s="15"/>
      <c r="T1" s="15"/>
    </row>
    <row r="2" spans="1:56" s="14" customFormat="1" ht="19.5" customHeight="1" x14ac:dyDescent="0.2">
      <c r="A2" s="85"/>
      <c r="B2" s="88"/>
      <c r="C2" s="89"/>
      <c r="D2" s="89"/>
      <c r="E2" s="27"/>
      <c r="F2" s="27"/>
      <c r="G2" s="27"/>
      <c r="H2" s="15"/>
      <c r="I2" s="16"/>
      <c r="J2" s="16"/>
      <c r="K2" s="16"/>
      <c r="L2" s="17"/>
      <c r="M2" s="17"/>
      <c r="N2" s="15"/>
      <c r="O2" s="15"/>
      <c r="P2" s="15"/>
      <c r="Q2" s="15"/>
      <c r="R2" s="15"/>
      <c r="S2" s="15"/>
      <c r="T2" s="15"/>
    </row>
    <row r="3" spans="1:56" ht="22.15" customHeight="1" x14ac:dyDescent="0.2">
      <c r="A3" s="27"/>
      <c r="B3" s="84" t="s">
        <v>104</v>
      </c>
      <c r="C3" s="87" t="s">
        <v>40</v>
      </c>
      <c r="D3" s="90" t="s">
        <v>105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</row>
    <row r="4" spans="1:56" ht="55.15" customHeight="1" x14ac:dyDescent="0.25">
      <c r="A4" s="30"/>
      <c r="B4" s="75"/>
      <c r="C4" s="86"/>
      <c r="D4" s="79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</row>
    <row r="5" spans="1:56" ht="55.15" customHeight="1" x14ac:dyDescent="0.25">
      <c r="A5" s="30"/>
      <c r="B5" s="75"/>
      <c r="C5" s="86"/>
      <c r="D5" s="79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</row>
    <row r="6" spans="1:56" ht="55.15" customHeight="1" x14ac:dyDescent="0.25">
      <c r="A6" s="30"/>
      <c r="B6" s="75"/>
      <c r="C6" s="86"/>
      <c r="D6" s="79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</row>
    <row r="7" spans="1:56" ht="55.15" customHeight="1" x14ac:dyDescent="0.25">
      <c r="A7" s="30"/>
      <c r="B7" s="75"/>
      <c r="C7" s="86"/>
      <c r="D7" s="79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</row>
    <row r="8" spans="1:56" ht="55.15" customHeight="1" x14ac:dyDescent="0.25">
      <c r="A8" s="30"/>
      <c r="B8" s="75"/>
      <c r="C8" s="86"/>
      <c r="D8" s="79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</row>
    <row r="9" spans="1:56" ht="55.15" customHeight="1" x14ac:dyDescent="0.25">
      <c r="A9" s="30"/>
      <c r="B9" s="75"/>
      <c r="C9" s="86"/>
      <c r="D9" s="79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</row>
    <row r="10" spans="1:56" s="28" customFormat="1" ht="12.75" customHeight="1" x14ac:dyDescent="0.2">
      <c r="A10" s="27"/>
      <c r="B10" s="31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56" s="28" customFormat="1" ht="12.75" customHeight="1" x14ac:dyDescent="0.2">
      <c r="B11" s="32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56" s="28" customFormat="1" ht="12.75" customHeight="1" x14ac:dyDescent="0.2">
      <c r="A12" s="27"/>
      <c r="B12" s="31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56" s="28" customFormat="1" ht="12.75" customHeight="1" x14ac:dyDescent="0.2">
      <c r="A13" s="27"/>
      <c r="B13" s="31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56" s="28" customFormat="1" ht="12.75" customHeight="1" x14ac:dyDescent="0.2">
      <c r="A14" s="27"/>
      <c r="B14" s="31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1:56" s="28" customFormat="1" ht="12.75" customHeight="1" x14ac:dyDescent="0.2">
      <c r="A15" s="27"/>
      <c r="B15" s="31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56" s="28" customFormat="1" ht="12.75" customHeight="1" x14ac:dyDescent="0.2">
      <c r="A16" s="27"/>
      <c r="B16" s="31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1:17" s="28" customFormat="1" ht="12.75" customHeight="1" x14ac:dyDescent="0.2">
      <c r="A17" s="27"/>
      <c r="B17" s="31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1:17" s="28" customFormat="1" ht="12.75" customHeight="1" x14ac:dyDescent="0.2">
      <c r="A18" s="27"/>
      <c r="B18" s="31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1:17" s="28" customFormat="1" ht="12.75" customHeight="1" x14ac:dyDescent="0.2">
      <c r="A19" s="27"/>
      <c r="B19" s="31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s="28" customFormat="1" ht="12.75" customHeight="1" x14ac:dyDescent="0.2">
      <c r="A20" s="27"/>
      <c r="B20" s="31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1:17" s="28" customFormat="1" ht="12.75" customHeight="1" x14ac:dyDescent="0.2">
      <c r="A21" s="27"/>
      <c r="B21" s="31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1:17" s="28" customFormat="1" ht="12.75" customHeight="1" x14ac:dyDescent="0.2">
      <c r="A22" s="27"/>
      <c r="B22" s="31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 s="28" customFormat="1" ht="12.75" customHeight="1" x14ac:dyDescent="0.2">
      <c r="A23" s="27"/>
      <c r="B23" s="31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1:17" s="28" customFormat="1" ht="12.75" customHeight="1" x14ac:dyDescent="0.2">
      <c r="A24" s="27"/>
      <c r="B24" s="31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1:17" s="28" customFormat="1" ht="12.75" customHeight="1" x14ac:dyDescent="0.2">
      <c r="A25" s="27"/>
      <c r="B25" s="31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1:17" s="28" customFormat="1" ht="12.75" customHeight="1" x14ac:dyDescent="0.2">
      <c r="A26" s="27"/>
      <c r="B26" s="31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1:17" s="28" customFormat="1" ht="12.75" customHeight="1" x14ac:dyDescent="0.2">
      <c r="A27" s="27"/>
      <c r="B27" s="31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1:17" s="28" customFormat="1" ht="12.75" customHeight="1" x14ac:dyDescent="0.2">
      <c r="A28" s="27"/>
      <c r="B28" s="31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1:17" s="28" customFormat="1" ht="12.75" customHeight="1" x14ac:dyDescent="0.2">
      <c r="A29" s="27"/>
      <c r="B29" s="31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17" s="28" customFormat="1" ht="12.75" customHeight="1" x14ac:dyDescent="0.2">
      <c r="A30" s="27"/>
      <c r="B30" s="31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17" s="28" customFormat="1" ht="12.75" customHeight="1" x14ac:dyDescent="0.2">
      <c r="A31" s="27"/>
      <c r="B31" s="31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17" s="28" customFormat="1" ht="12.75" customHeight="1" x14ac:dyDescent="0.2">
      <c r="A32" s="27"/>
      <c r="B32" s="31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s="28" customFormat="1" ht="12.75" customHeight="1" x14ac:dyDescent="0.2">
      <c r="A33" s="27"/>
      <c r="B33" s="31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s="28" customFormat="1" ht="12.75" customHeight="1" x14ac:dyDescent="0.2">
      <c r="A34" s="27"/>
      <c r="B34" s="31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s="28" customFormat="1" ht="12.75" customHeight="1" x14ac:dyDescent="0.2">
      <c r="A35" s="27"/>
      <c r="B35" s="31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s="28" customFormat="1" ht="12.75" customHeight="1" x14ac:dyDescent="0.2">
      <c r="A36" s="27"/>
      <c r="B36" s="31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s="28" customFormat="1" ht="12.75" customHeight="1" x14ac:dyDescent="0.2">
      <c r="A37" s="27"/>
      <c r="B37" s="31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s="28" customFormat="1" ht="12.75" customHeight="1" x14ac:dyDescent="0.2">
      <c r="A38" s="27"/>
      <c r="B38" s="31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s="28" customFormat="1" ht="12.75" customHeight="1" x14ac:dyDescent="0.2">
      <c r="A39" s="27"/>
      <c r="B39" s="31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s="28" customFormat="1" ht="12.75" customHeight="1" x14ac:dyDescent="0.2">
      <c r="A40" s="27"/>
      <c r="B40" s="31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spans="1:17" s="28" customFormat="1" ht="12.75" customHeight="1" x14ac:dyDescent="0.2">
      <c r="A41" s="27"/>
      <c r="B41" s="31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 spans="1:17" s="28" customFormat="1" ht="12.75" customHeight="1" x14ac:dyDescent="0.2">
      <c r="A42" s="27"/>
      <c r="B42" s="31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spans="1:17" s="28" customFormat="1" ht="12.75" customHeight="1" x14ac:dyDescent="0.2">
      <c r="A43" s="27"/>
      <c r="B43" s="31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spans="1:17" s="28" customFormat="1" ht="12.75" customHeight="1" x14ac:dyDescent="0.2">
      <c r="A44" s="27"/>
      <c r="B44" s="31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spans="1:17" s="28" customFormat="1" ht="12.75" customHeight="1" x14ac:dyDescent="0.2">
      <c r="A45" s="27"/>
      <c r="B45" s="31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spans="1:17" s="28" customFormat="1" ht="12.75" customHeight="1" x14ac:dyDescent="0.2">
      <c r="A46" s="27"/>
      <c r="B46" s="31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spans="1:17" s="28" customFormat="1" ht="12.75" customHeight="1" x14ac:dyDescent="0.2">
      <c r="A47" s="27"/>
      <c r="B47" s="31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spans="1:17" s="28" customFormat="1" ht="12.75" customHeight="1" x14ac:dyDescent="0.2">
      <c r="A48" s="27"/>
      <c r="B48" s="31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spans="1:17" s="28" customFormat="1" ht="12.75" customHeight="1" x14ac:dyDescent="0.2">
      <c r="A49" s="27"/>
      <c r="B49" s="31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spans="1:17" s="28" customFormat="1" ht="12.75" customHeight="1" x14ac:dyDescent="0.2">
      <c r="A50" s="27"/>
      <c r="B50" s="31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</row>
    <row r="51" spans="1:17" s="28" customFormat="1" ht="12.75" customHeight="1" x14ac:dyDescent="0.2">
      <c r="A51" s="27"/>
      <c r="B51" s="31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spans="1:17" s="28" customFormat="1" ht="12.75" customHeight="1" x14ac:dyDescent="0.2">
      <c r="A52" s="27"/>
      <c r="B52" s="31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spans="1:17" s="28" customFormat="1" ht="12.75" customHeight="1" x14ac:dyDescent="0.2">
      <c r="A53" s="27"/>
      <c r="B53" s="31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 spans="1:17" s="28" customFormat="1" ht="12.75" customHeight="1" x14ac:dyDescent="0.2">
      <c r="A54" s="27"/>
      <c r="B54" s="31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spans="1:17" s="28" customFormat="1" ht="12.75" customHeight="1" x14ac:dyDescent="0.2">
      <c r="A55" s="27"/>
      <c r="B55" s="31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spans="1:17" s="28" customFormat="1" ht="12.75" customHeight="1" x14ac:dyDescent="0.2">
      <c r="A56" s="27"/>
      <c r="B56" s="31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s="28" customFormat="1" ht="12.75" customHeight="1" x14ac:dyDescent="0.2">
      <c r="A57" s="27"/>
      <c r="B57" s="31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</row>
    <row r="58" spans="1:17" s="28" customFormat="1" ht="12.75" customHeight="1" x14ac:dyDescent="0.2">
      <c r="A58" s="27"/>
      <c r="B58" s="31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</row>
    <row r="59" spans="1:17" s="28" customFormat="1" ht="12.75" customHeight="1" x14ac:dyDescent="0.2">
      <c r="A59" s="27"/>
      <c r="B59" s="31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</row>
    <row r="60" spans="1:17" s="28" customFormat="1" ht="12.75" customHeight="1" x14ac:dyDescent="0.2">
      <c r="A60" s="27"/>
      <c r="B60" s="31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</row>
    <row r="61" spans="1:17" s="28" customFormat="1" ht="12.75" customHeight="1" x14ac:dyDescent="0.2">
      <c r="A61" s="27"/>
      <c r="B61" s="31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</row>
    <row r="62" spans="1:17" s="28" customFormat="1" ht="12.75" customHeight="1" x14ac:dyDescent="0.2">
      <c r="A62" s="27"/>
      <c r="B62" s="31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s="28" customFormat="1" ht="12.75" customHeight="1" x14ac:dyDescent="0.2">
      <c r="A63" s="27"/>
      <c r="B63" s="31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s="28" customFormat="1" ht="12.75" customHeight="1" x14ac:dyDescent="0.2">
      <c r="A64" s="27"/>
      <c r="B64" s="31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spans="1:17" s="28" customFormat="1" ht="12.75" customHeight="1" x14ac:dyDescent="0.2">
      <c r="A65" s="27"/>
      <c r="B65" s="31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spans="1:17" s="28" customFormat="1" ht="12.75" customHeight="1" x14ac:dyDescent="0.2">
      <c r="A66" s="27"/>
      <c r="B66" s="31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spans="1:17" s="28" customFormat="1" ht="12.75" customHeight="1" x14ac:dyDescent="0.2">
      <c r="A67" s="27"/>
      <c r="B67" s="31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8" spans="1:17" s="28" customFormat="1" ht="12.75" customHeight="1" x14ac:dyDescent="0.2">
      <c r="A68" s="27"/>
      <c r="B68" s="31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 spans="1:17" s="28" customFormat="1" ht="12.75" customHeight="1" x14ac:dyDescent="0.2">
      <c r="A69" s="27"/>
      <c r="B69" s="31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r="70" spans="1:17" s="28" customFormat="1" ht="12.75" customHeight="1" x14ac:dyDescent="0.2">
      <c r="A70" s="27"/>
      <c r="B70" s="31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 spans="1:17" s="28" customFormat="1" ht="12.75" customHeight="1" x14ac:dyDescent="0.2">
      <c r="A71" s="27"/>
      <c r="B71" s="31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</row>
    <row r="72" spans="1:17" s="28" customFormat="1" ht="12.75" customHeight="1" x14ac:dyDescent="0.2">
      <c r="A72" s="27"/>
      <c r="B72" s="31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 spans="1:17" s="28" customFormat="1" ht="12.75" customHeight="1" x14ac:dyDescent="0.2">
      <c r="A73" s="27"/>
      <c r="B73" s="31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r="74" spans="1:17" s="28" customFormat="1" ht="12.75" customHeight="1" x14ac:dyDescent="0.2">
      <c r="A74" s="27"/>
      <c r="B74" s="31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 spans="1:17" s="28" customFormat="1" ht="12.75" customHeight="1" x14ac:dyDescent="0.2">
      <c r="A75" s="27"/>
      <c r="B75" s="31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</row>
    <row r="76" spans="1:17" s="28" customFormat="1" ht="12.75" customHeight="1" x14ac:dyDescent="0.2">
      <c r="A76" s="27"/>
      <c r="B76" s="31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</row>
    <row r="77" spans="1:17" s="28" customFormat="1" ht="12.75" customHeight="1" x14ac:dyDescent="0.2">
      <c r="A77" s="27"/>
      <c r="B77" s="31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r="78" spans="1:17" s="28" customFormat="1" ht="12.75" customHeight="1" x14ac:dyDescent="0.2">
      <c r="A78" s="27"/>
      <c r="B78" s="31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</row>
    <row r="79" spans="1:17" s="28" customFormat="1" ht="12.75" customHeight="1" x14ac:dyDescent="0.2">
      <c r="A79" s="27"/>
      <c r="B79" s="31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r="80" spans="1:17" s="28" customFormat="1" ht="12.75" customHeight="1" x14ac:dyDescent="0.2">
      <c r="A80" s="27"/>
      <c r="B80" s="31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</row>
    <row r="81" spans="1:17" s="28" customFormat="1" ht="12.75" customHeight="1" x14ac:dyDescent="0.2">
      <c r="A81" s="27"/>
      <c r="B81" s="31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</row>
    <row r="82" spans="1:17" s="28" customFormat="1" ht="12.75" customHeight="1" x14ac:dyDescent="0.2">
      <c r="A82" s="27"/>
      <c r="B82" s="31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</row>
    <row r="83" spans="1:17" s="28" customFormat="1" ht="12.75" customHeight="1" x14ac:dyDescent="0.2">
      <c r="A83" s="27"/>
      <c r="B83" s="31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r="84" spans="1:17" s="28" customFormat="1" ht="12.75" customHeight="1" x14ac:dyDescent="0.2">
      <c r="A84" s="27"/>
      <c r="B84" s="31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</row>
    <row r="85" spans="1:17" s="28" customFormat="1" ht="12.75" customHeight="1" x14ac:dyDescent="0.2">
      <c r="A85" s="27"/>
      <c r="B85" s="31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</row>
    <row r="86" spans="1:17" s="28" customFormat="1" ht="12.75" customHeight="1" x14ac:dyDescent="0.2">
      <c r="A86" s="27"/>
      <c r="B86" s="31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r="87" spans="1:17" s="28" customFormat="1" ht="12.75" customHeight="1" x14ac:dyDescent="0.2">
      <c r="A87" s="27"/>
      <c r="B87" s="31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</row>
    <row r="88" spans="1:17" s="28" customFormat="1" ht="12.75" customHeight="1" x14ac:dyDescent="0.2">
      <c r="A88" s="27"/>
      <c r="B88" s="31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</row>
    <row r="89" spans="1:17" s="28" customFormat="1" ht="12.75" customHeight="1" x14ac:dyDescent="0.2">
      <c r="A89" s="27"/>
      <c r="B89" s="31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</row>
    <row r="90" spans="1:17" s="28" customFormat="1" ht="12.75" customHeight="1" x14ac:dyDescent="0.2">
      <c r="A90" s="27"/>
      <c r="B90" s="31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</row>
    <row r="91" spans="1:17" s="28" customFormat="1" ht="12.75" customHeight="1" x14ac:dyDescent="0.2">
      <c r="A91" s="27"/>
      <c r="B91" s="31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</row>
    <row r="92" spans="1:17" s="28" customFormat="1" ht="12.75" customHeight="1" x14ac:dyDescent="0.2">
      <c r="A92" s="27"/>
      <c r="B92" s="31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</row>
    <row r="93" spans="1:17" s="28" customFormat="1" ht="12.75" customHeight="1" x14ac:dyDescent="0.2">
      <c r="A93" s="27"/>
      <c r="B93" s="31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</row>
    <row r="94" spans="1:17" s="28" customFormat="1" ht="12.75" customHeight="1" x14ac:dyDescent="0.2">
      <c r="A94" s="27"/>
      <c r="B94" s="31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</row>
    <row r="95" spans="1:17" s="28" customFormat="1" ht="12.75" customHeight="1" x14ac:dyDescent="0.2">
      <c r="A95" s="27"/>
      <c r="B95" s="31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</row>
    <row r="96" spans="1:17" s="28" customFormat="1" ht="12.75" customHeight="1" x14ac:dyDescent="0.2">
      <c r="A96" s="27"/>
      <c r="B96" s="31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</row>
    <row r="97" spans="1:17" s="28" customFormat="1" ht="12.75" customHeight="1" x14ac:dyDescent="0.2">
      <c r="A97" s="27"/>
      <c r="B97" s="31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</row>
    <row r="98" spans="1:17" s="28" customFormat="1" ht="12.75" customHeight="1" x14ac:dyDescent="0.2">
      <c r="A98" s="27"/>
      <c r="B98" s="31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</row>
    <row r="99" spans="1:17" s="28" customFormat="1" ht="12.75" customHeight="1" x14ac:dyDescent="0.2">
      <c r="A99" s="27"/>
      <c r="B99" s="31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</row>
    <row r="100" spans="1:17" s="28" customFormat="1" ht="12.75" customHeight="1" x14ac:dyDescent="0.2">
      <c r="A100" s="27"/>
      <c r="B100" s="31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</row>
    <row r="101" spans="1:17" s="28" customFormat="1" ht="12.75" customHeight="1" x14ac:dyDescent="0.2">
      <c r="A101" s="27"/>
      <c r="B101" s="31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</row>
    <row r="102" spans="1:17" s="28" customFormat="1" ht="12.75" customHeight="1" x14ac:dyDescent="0.2">
      <c r="A102" s="27"/>
      <c r="B102" s="31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</row>
    <row r="103" spans="1:17" s="28" customFormat="1" ht="12.75" customHeight="1" x14ac:dyDescent="0.2">
      <c r="A103" s="27"/>
      <c r="B103" s="31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</row>
    <row r="104" spans="1:17" s="28" customFormat="1" ht="12.75" customHeight="1" x14ac:dyDescent="0.2">
      <c r="A104" s="27"/>
      <c r="B104" s="31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</row>
    <row r="105" spans="1:17" s="28" customFormat="1" ht="12.75" customHeight="1" x14ac:dyDescent="0.2">
      <c r="A105" s="27"/>
      <c r="B105" s="31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</row>
    <row r="106" spans="1:17" s="28" customFormat="1" ht="12.75" customHeight="1" x14ac:dyDescent="0.2">
      <c r="A106" s="27"/>
      <c r="B106" s="31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</row>
    <row r="107" spans="1:17" s="28" customFormat="1" ht="12.75" customHeight="1" x14ac:dyDescent="0.2">
      <c r="A107" s="27"/>
      <c r="B107" s="31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</row>
    <row r="108" spans="1:17" s="28" customFormat="1" ht="12.75" customHeight="1" x14ac:dyDescent="0.2">
      <c r="A108" s="27"/>
      <c r="B108" s="31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</row>
    <row r="109" spans="1:17" s="28" customFormat="1" ht="12.75" customHeight="1" x14ac:dyDescent="0.2">
      <c r="A109" s="27"/>
      <c r="B109" s="31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</row>
    <row r="110" spans="1:17" s="28" customFormat="1" ht="12.75" customHeight="1" x14ac:dyDescent="0.2">
      <c r="A110" s="27"/>
      <c r="B110" s="31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</row>
    <row r="111" spans="1:17" s="28" customFormat="1" ht="12.75" customHeight="1" x14ac:dyDescent="0.2">
      <c r="A111" s="27"/>
      <c r="B111" s="31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</row>
    <row r="112" spans="1:17" s="28" customFormat="1" ht="12.75" customHeight="1" x14ac:dyDescent="0.2">
      <c r="A112" s="27"/>
      <c r="B112" s="31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</row>
    <row r="113" spans="1:17" s="28" customFormat="1" ht="12.75" customHeight="1" x14ac:dyDescent="0.2">
      <c r="A113" s="27"/>
      <c r="B113" s="31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</row>
    <row r="114" spans="1:17" s="28" customFormat="1" ht="12.75" customHeight="1" x14ac:dyDescent="0.2">
      <c r="A114" s="27"/>
      <c r="B114" s="31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</row>
    <row r="115" spans="1:17" s="28" customFormat="1" ht="12.75" customHeight="1" x14ac:dyDescent="0.2">
      <c r="A115" s="27"/>
      <c r="B115" s="31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</row>
    <row r="116" spans="1:17" s="28" customFormat="1" ht="12.75" customHeight="1" x14ac:dyDescent="0.2">
      <c r="A116" s="27"/>
      <c r="B116" s="31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</row>
    <row r="117" spans="1:17" s="28" customFormat="1" ht="12.75" customHeight="1" x14ac:dyDescent="0.2">
      <c r="A117" s="27"/>
      <c r="B117" s="31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</row>
    <row r="118" spans="1:17" s="28" customFormat="1" ht="12.75" customHeight="1" x14ac:dyDescent="0.2">
      <c r="A118" s="27"/>
      <c r="B118" s="31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</row>
    <row r="119" spans="1:17" s="28" customFormat="1" ht="12.75" customHeight="1" x14ac:dyDescent="0.2">
      <c r="A119" s="27"/>
      <c r="B119" s="31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</row>
    <row r="120" spans="1:17" s="28" customFormat="1" ht="12.75" customHeight="1" x14ac:dyDescent="0.2">
      <c r="A120" s="27"/>
      <c r="B120" s="31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</row>
    <row r="121" spans="1:17" s="28" customFormat="1" ht="12.75" customHeight="1" x14ac:dyDescent="0.2">
      <c r="A121" s="27"/>
      <c r="B121" s="31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</row>
    <row r="122" spans="1:17" s="28" customFormat="1" ht="12.75" customHeight="1" x14ac:dyDescent="0.2">
      <c r="A122" s="27"/>
      <c r="B122" s="31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</row>
    <row r="123" spans="1:17" s="28" customFormat="1" ht="12.75" customHeight="1" x14ac:dyDescent="0.2">
      <c r="A123" s="27"/>
      <c r="B123" s="31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</row>
    <row r="124" spans="1:17" s="28" customFormat="1" ht="12.75" customHeight="1" x14ac:dyDescent="0.2">
      <c r="A124" s="27"/>
      <c r="B124" s="31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</row>
    <row r="125" spans="1:17" s="28" customFormat="1" ht="12.75" customHeight="1" x14ac:dyDescent="0.2">
      <c r="A125" s="27"/>
      <c r="B125" s="31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</row>
    <row r="126" spans="1:17" s="28" customFormat="1" ht="12.75" customHeight="1" x14ac:dyDescent="0.2">
      <c r="A126" s="27"/>
      <c r="B126" s="31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</row>
    <row r="127" spans="1:17" s="28" customFormat="1" ht="12.75" customHeight="1" x14ac:dyDescent="0.2">
      <c r="A127" s="27"/>
      <c r="B127" s="31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</row>
    <row r="128" spans="1:17" s="28" customFormat="1" ht="12.75" customHeight="1" x14ac:dyDescent="0.2">
      <c r="A128" s="27"/>
      <c r="B128" s="31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</row>
    <row r="129" spans="1:17" s="28" customFormat="1" ht="12.75" customHeight="1" x14ac:dyDescent="0.2">
      <c r="A129" s="27"/>
      <c r="B129" s="31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</row>
    <row r="130" spans="1:17" s="28" customFormat="1" ht="12.75" customHeight="1" x14ac:dyDescent="0.2">
      <c r="A130" s="27"/>
      <c r="B130" s="31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</row>
    <row r="131" spans="1:17" s="28" customFormat="1" ht="12.75" customHeight="1" x14ac:dyDescent="0.2">
      <c r="A131" s="27"/>
      <c r="B131" s="31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</row>
    <row r="132" spans="1:17" s="28" customFormat="1" ht="12.75" customHeight="1" x14ac:dyDescent="0.2">
      <c r="A132" s="27"/>
      <c r="B132" s="31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</row>
    <row r="133" spans="1:17" s="28" customFormat="1" ht="12.75" customHeight="1" x14ac:dyDescent="0.2">
      <c r="A133" s="27"/>
      <c r="B133" s="31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</row>
    <row r="134" spans="1:17" s="28" customFormat="1" ht="12.75" customHeight="1" x14ac:dyDescent="0.2">
      <c r="A134" s="27"/>
      <c r="B134" s="31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</row>
    <row r="135" spans="1:17" s="28" customFormat="1" ht="12.75" customHeight="1" x14ac:dyDescent="0.2">
      <c r="A135" s="27"/>
      <c r="B135" s="31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</row>
    <row r="136" spans="1:17" s="28" customFormat="1" ht="12.75" customHeight="1" x14ac:dyDescent="0.2">
      <c r="A136" s="27"/>
      <c r="B136" s="31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</row>
    <row r="137" spans="1:17" s="28" customFormat="1" ht="12.75" customHeight="1" x14ac:dyDescent="0.2">
      <c r="A137" s="27"/>
      <c r="B137" s="31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</row>
    <row r="138" spans="1:17" s="28" customFormat="1" ht="12.75" customHeight="1" x14ac:dyDescent="0.2">
      <c r="A138" s="27"/>
      <c r="B138" s="31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</row>
    <row r="139" spans="1:17" s="28" customFormat="1" ht="12.75" customHeight="1" x14ac:dyDescent="0.2">
      <c r="A139" s="27"/>
      <c r="B139" s="31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</row>
    <row r="140" spans="1:17" s="28" customFormat="1" ht="12.75" customHeight="1" x14ac:dyDescent="0.2">
      <c r="A140" s="27"/>
      <c r="B140" s="31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</row>
    <row r="141" spans="1:17" s="28" customFormat="1" ht="12.75" customHeight="1" x14ac:dyDescent="0.2">
      <c r="A141" s="27"/>
      <c r="B141" s="31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</row>
    <row r="142" spans="1:17" s="28" customFormat="1" ht="12.75" customHeight="1" x14ac:dyDescent="0.2">
      <c r="A142" s="27"/>
      <c r="B142" s="31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</row>
    <row r="143" spans="1:17" s="28" customFormat="1" ht="12.75" customHeight="1" x14ac:dyDescent="0.2">
      <c r="A143" s="27"/>
      <c r="B143" s="31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</row>
    <row r="144" spans="1:17" s="28" customFormat="1" ht="12.75" customHeight="1" x14ac:dyDescent="0.2">
      <c r="A144" s="27"/>
      <c r="B144" s="31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</row>
    <row r="145" spans="1:17" s="28" customFormat="1" ht="12.75" customHeight="1" x14ac:dyDescent="0.2">
      <c r="A145" s="27"/>
      <c r="B145" s="31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</row>
    <row r="146" spans="1:17" s="28" customFormat="1" ht="12.75" customHeight="1" x14ac:dyDescent="0.2">
      <c r="A146" s="27"/>
      <c r="B146" s="31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</row>
    <row r="147" spans="1:17" s="28" customFormat="1" ht="12.75" customHeight="1" x14ac:dyDescent="0.2">
      <c r="A147" s="27"/>
      <c r="B147" s="31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</row>
    <row r="148" spans="1:17" s="28" customFormat="1" ht="12.75" customHeight="1" x14ac:dyDescent="0.2">
      <c r="A148" s="27"/>
      <c r="B148" s="31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</row>
    <row r="149" spans="1:17" s="28" customFormat="1" ht="12.75" customHeight="1" x14ac:dyDescent="0.2">
      <c r="A149" s="27"/>
      <c r="B149" s="31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</row>
    <row r="150" spans="1:17" s="28" customFormat="1" ht="12.75" customHeight="1" x14ac:dyDescent="0.2">
      <c r="A150" s="27"/>
      <c r="B150" s="31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</row>
    <row r="151" spans="1:17" s="28" customFormat="1" ht="12.75" customHeight="1" x14ac:dyDescent="0.2">
      <c r="A151" s="27"/>
      <c r="B151" s="31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</row>
    <row r="152" spans="1:17" s="28" customFormat="1" ht="12.75" customHeight="1" x14ac:dyDescent="0.2">
      <c r="A152" s="27"/>
      <c r="B152" s="31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</row>
    <row r="153" spans="1:17" s="28" customFormat="1" ht="12.75" customHeight="1" x14ac:dyDescent="0.2">
      <c r="A153" s="27"/>
      <c r="B153" s="31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</row>
    <row r="154" spans="1:17" s="28" customFormat="1" ht="12.75" customHeight="1" x14ac:dyDescent="0.2">
      <c r="A154" s="27"/>
      <c r="B154" s="31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</row>
    <row r="155" spans="1:17" s="28" customFormat="1" ht="12.75" customHeight="1" x14ac:dyDescent="0.2">
      <c r="A155" s="27"/>
      <c r="B155" s="31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</row>
    <row r="156" spans="1:17" s="28" customFormat="1" ht="12.75" customHeight="1" x14ac:dyDescent="0.2">
      <c r="A156" s="27"/>
      <c r="B156" s="31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</row>
    <row r="157" spans="1:17" s="28" customFormat="1" ht="12.75" customHeight="1" x14ac:dyDescent="0.2">
      <c r="A157" s="27"/>
      <c r="B157" s="31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</row>
    <row r="158" spans="1:17" s="28" customFormat="1" ht="12.75" customHeight="1" x14ac:dyDescent="0.2">
      <c r="A158" s="27"/>
      <c r="B158" s="31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</row>
    <row r="159" spans="1:17" s="28" customFormat="1" ht="12.75" customHeight="1" x14ac:dyDescent="0.2">
      <c r="A159" s="27"/>
      <c r="B159" s="31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</row>
    <row r="160" spans="1:17" s="28" customFormat="1" ht="12.75" customHeight="1" x14ac:dyDescent="0.2">
      <c r="A160" s="27"/>
      <c r="B160" s="31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</row>
    <row r="161" spans="1:17" s="28" customFormat="1" ht="12.75" customHeight="1" x14ac:dyDescent="0.2">
      <c r="A161" s="27"/>
      <c r="B161" s="31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</row>
    <row r="162" spans="1:17" s="28" customFormat="1" ht="12.75" customHeight="1" x14ac:dyDescent="0.2">
      <c r="A162" s="27"/>
      <c r="B162" s="31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</row>
    <row r="163" spans="1:17" s="28" customFormat="1" ht="12.75" customHeight="1" x14ac:dyDescent="0.2">
      <c r="A163" s="27"/>
      <c r="B163" s="31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</row>
    <row r="164" spans="1:17" s="28" customFormat="1" ht="12.75" customHeight="1" x14ac:dyDescent="0.2">
      <c r="A164" s="27"/>
      <c r="B164" s="31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</row>
    <row r="165" spans="1:17" s="28" customFormat="1" ht="12.75" customHeight="1" x14ac:dyDescent="0.2">
      <c r="A165" s="27"/>
      <c r="B165" s="31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</row>
    <row r="166" spans="1:17" s="28" customFormat="1" ht="12.75" customHeight="1" x14ac:dyDescent="0.2">
      <c r="A166" s="27"/>
      <c r="B166" s="31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</row>
    <row r="167" spans="1:17" s="28" customFormat="1" ht="12.75" customHeight="1" x14ac:dyDescent="0.2">
      <c r="A167" s="27"/>
      <c r="B167" s="31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</row>
    <row r="168" spans="1:17" s="28" customFormat="1" ht="12.75" customHeight="1" x14ac:dyDescent="0.2">
      <c r="A168" s="27"/>
      <c r="B168" s="31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</row>
    <row r="169" spans="1:17" s="28" customFormat="1" ht="12.75" customHeight="1" x14ac:dyDescent="0.2">
      <c r="A169" s="27"/>
      <c r="B169" s="31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</row>
    <row r="170" spans="1:17" s="28" customFormat="1" ht="12.75" customHeight="1" x14ac:dyDescent="0.2">
      <c r="A170" s="27"/>
      <c r="B170" s="31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</row>
    <row r="171" spans="1:17" s="28" customFormat="1" ht="12.75" customHeight="1" x14ac:dyDescent="0.2">
      <c r="A171" s="27"/>
      <c r="B171" s="31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</row>
    <row r="172" spans="1:17" s="28" customFormat="1" ht="12.75" customHeight="1" x14ac:dyDescent="0.2">
      <c r="A172" s="27"/>
      <c r="B172" s="31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</row>
    <row r="173" spans="1:17" s="28" customFormat="1" ht="12.75" customHeight="1" x14ac:dyDescent="0.2">
      <c r="A173" s="27"/>
      <c r="B173" s="31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</row>
    <row r="174" spans="1:17" s="28" customFormat="1" ht="12.75" customHeight="1" x14ac:dyDescent="0.2">
      <c r="A174" s="27"/>
      <c r="B174" s="31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</row>
    <row r="175" spans="1:17" s="28" customFormat="1" ht="12.75" customHeight="1" x14ac:dyDescent="0.2">
      <c r="A175" s="27"/>
      <c r="B175" s="31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</row>
    <row r="176" spans="1:17" s="28" customFormat="1" ht="12.75" customHeight="1" x14ac:dyDescent="0.2">
      <c r="A176" s="27"/>
      <c r="B176" s="31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</row>
    <row r="177" spans="1:17" s="28" customFormat="1" ht="12.75" customHeight="1" x14ac:dyDescent="0.2">
      <c r="A177" s="27"/>
      <c r="B177" s="31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</row>
    <row r="178" spans="1:17" s="28" customFormat="1" ht="12.75" customHeight="1" x14ac:dyDescent="0.2">
      <c r="A178" s="27"/>
      <c r="B178" s="31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</row>
    <row r="179" spans="1:17" s="28" customFormat="1" ht="12.75" customHeight="1" x14ac:dyDescent="0.2">
      <c r="A179" s="27"/>
      <c r="B179" s="31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</row>
    <row r="180" spans="1:17" s="28" customFormat="1" ht="12.75" customHeight="1" x14ac:dyDescent="0.2">
      <c r="A180" s="27"/>
      <c r="B180" s="31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</row>
    <row r="181" spans="1:17" s="28" customFormat="1" ht="12.75" customHeight="1" x14ac:dyDescent="0.2">
      <c r="A181" s="27"/>
      <c r="B181" s="31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</row>
    <row r="182" spans="1:17" s="28" customFormat="1" ht="12.75" customHeight="1" x14ac:dyDescent="0.2">
      <c r="A182" s="27"/>
      <c r="B182" s="31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</row>
    <row r="183" spans="1:17" s="28" customFormat="1" ht="12.75" customHeight="1" x14ac:dyDescent="0.2">
      <c r="A183" s="27"/>
      <c r="B183" s="31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</row>
    <row r="184" spans="1:17" s="28" customFormat="1" ht="12.75" customHeight="1" x14ac:dyDescent="0.2">
      <c r="A184" s="27"/>
      <c r="B184" s="31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</row>
    <row r="185" spans="1:17" s="28" customFormat="1" ht="12.75" customHeight="1" x14ac:dyDescent="0.2">
      <c r="A185" s="27"/>
      <c r="B185" s="31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</row>
    <row r="186" spans="1:17" s="28" customFormat="1" ht="12.75" customHeight="1" x14ac:dyDescent="0.2">
      <c r="A186" s="27"/>
      <c r="B186" s="31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</row>
    <row r="187" spans="1:17" s="28" customFormat="1" ht="12.75" customHeight="1" x14ac:dyDescent="0.2">
      <c r="A187" s="27"/>
      <c r="B187" s="31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</row>
    <row r="188" spans="1:17" s="28" customFormat="1" ht="12.75" customHeight="1" x14ac:dyDescent="0.2">
      <c r="A188" s="27"/>
      <c r="B188" s="31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</row>
    <row r="189" spans="1:17" s="28" customFormat="1" ht="12.75" customHeight="1" x14ac:dyDescent="0.2">
      <c r="A189" s="27"/>
      <c r="B189" s="31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</row>
    <row r="190" spans="1:17" s="28" customFormat="1" ht="12.75" customHeight="1" x14ac:dyDescent="0.2">
      <c r="A190" s="27"/>
      <c r="B190" s="31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</row>
    <row r="191" spans="1:17" s="28" customFormat="1" ht="12.75" customHeight="1" x14ac:dyDescent="0.2">
      <c r="A191" s="27"/>
      <c r="B191" s="31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</row>
    <row r="192" spans="1:17" s="28" customFormat="1" ht="12.75" customHeight="1" x14ac:dyDescent="0.2">
      <c r="A192" s="27"/>
      <c r="B192" s="31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</row>
    <row r="193" spans="1:17" s="28" customFormat="1" ht="12.75" customHeight="1" x14ac:dyDescent="0.2">
      <c r="A193" s="27"/>
      <c r="B193" s="31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</row>
    <row r="194" spans="1:17" s="28" customFormat="1" ht="12.75" customHeight="1" x14ac:dyDescent="0.2">
      <c r="A194" s="27"/>
      <c r="B194" s="31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</row>
    <row r="195" spans="1:17" s="28" customFormat="1" ht="12.75" customHeight="1" x14ac:dyDescent="0.2">
      <c r="A195" s="27"/>
      <c r="B195" s="31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</row>
    <row r="196" spans="1:17" s="28" customFormat="1" ht="12.75" customHeight="1" x14ac:dyDescent="0.2">
      <c r="A196" s="27"/>
      <c r="B196" s="31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</row>
    <row r="197" spans="1:17" s="28" customFormat="1" ht="12.75" customHeight="1" x14ac:dyDescent="0.2">
      <c r="A197" s="27"/>
      <c r="B197" s="31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</row>
    <row r="198" spans="1:17" s="28" customFormat="1" ht="12.75" customHeight="1" x14ac:dyDescent="0.2">
      <c r="A198" s="27"/>
      <c r="B198" s="31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</row>
    <row r="199" spans="1:17" s="28" customFormat="1" ht="12.75" customHeight="1" x14ac:dyDescent="0.2">
      <c r="A199" s="27"/>
      <c r="B199" s="31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</row>
    <row r="200" spans="1:17" s="28" customFormat="1" ht="12.75" customHeight="1" x14ac:dyDescent="0.2">
      <c r="A200" s="27"/>
      <c r="B200" s="31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</row>
    <row r="201" spans="1:17" s="28" customFormat="1" ht="12.75" customHeight="1" x14ac:dyDescent="0.2">
      <c r="A201" s="27"/>
      <c r="B201" s="31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</row>
    <row r="202" spans="1:17" s="28" customFormat="1" ht="12.75" customHeight="1" x14ac:dyDescent="0.2">
      <c r="A202" s="27"/>
      <c r="B202" s="31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</row>
    <row r="203" spans="1:17" s="28" customFormat="1" ht="12.75" customHeight="1" x14ac:dyDescent="0.2">
      <c r="A203" s="27"/>
      <c r="B203" s="31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</row>
    <row r="204" spans="1:17" s="28" customFormat="1" ht="12.75" customHeight="1" x14ac:dyDescent="0.2">
      <c r="A204" s="27"/>
      <c r="B204" s="31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</row>
    <row r="205" spans="1:17" s="28" customFormat="1" ht="12.75" customHeight="1" x14ac:dyDescent="0.2">
      <c r="A205" s="27"/>
      <c r="B205" s="31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</row>
    <row r="206" spans="1:17" s="28" customFormat="1" ht="12.75" customHeight="1" x14ac:dyDescent="0.2">
      <c r="A206" s="27"/>
      <c r="B206" s="31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</row>
    <row r="207" spans="1:17" s="28" customFormat="1" ht="12.75" customHeight="1" x14ac:dyDescent="0.2">
      <c r="A207" s="27"/>
      <c r="B207" s="31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</row>
    <row r="208" spans="1:17" s="28" customFormat="1" ht="12.75" customHeight="1" x14ac:dyDescent="0.2">
      <c r="A208" s="27"/>
      <c r="B208" s="31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</row>
    <row r="209" spans="1:17" s="28" customFormat="1" ht="12.75" customHeight="1" x14ac:dyDescent="0.2">
      <c r="A209" s="27"/>
      <c r="B209" s="31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</row>
    <row r="210" spans="1:17" s="28" customFormat="1" ht="12.75" customHeight="1" x14ac:dyDescent="0.2">
      <c r="A210" s="27"/>
      <c r="B210" s="31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</row>
    <row r="211" spans="1:17" s="28" customFormat="1" ht="12.75" customHeight="1" x14ac:dyDescent="0.2">
      <c r="A211" s="27"/>
      <c r="B211" s="31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</row>
    <row r="212" spans="1:17" s="28" customFormat="1" ht="12.75" customHeight="1" x14ac:dyDescent="0.2">
      <c r="A212" s="27"/>
      <c r="B212" s="31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</row>
    <row r="213" spans="1:17" s="28" customFormat="1" ht="12.75" customHeight="1" x14ac:dyDescent="0.2">
      <c r="A213" s="27"/>
      <c r="B213" s="31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</row>
    <row r="214" spans="1:17" s="28" customFormat="1" ht="12.75" customHeight="1" x14ac:dyDescent="0.2">
      <c r="A214" s="27"/>
      <c r="B214" s="31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</row>
    <row r="215" spans="1:17" s="28" customFormat="1" ht="12.75" customHeight="1" x14ac:dyDescent="0.2">
      <c r="A215" s="27"/>
      <c r="B215" s="31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</row>
    <row r="216" spans="1:17" s="28" customFormat="1" ht="12.75" customHeight="1" x14ac:dyDescent="0.2">
      <c r="A216" s="27"/>
      <c r="B216" s="31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</row>
    <row r="217" spans="1:17" s="28" customFormat="1" ht="12.75" customHeight="1" x14ac:dyDescent="0.2">
      <c r="A217" s="27"/>
      <c r="B217" s="31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</row>
    <row r="218" spans="1:17" ht="12.75" customHeight="1" x14ac:dyDescent="0.2">
      <c r="A218" s="27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</row>
    <row r="219" spans="1:17" ht="12.75" customHeight="1" x14ac:dyDescent="0.2">
      <c r="A219" s="27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</row>
    <row r="220" spans="1:17" ht="12.75" customHeight="1" x14ac:dyDescent="0.2">
      <c r="A220" s="27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</row>
    <row r="221" spans="1:17" ht="12.75" customHeight="1" x14ac:dyDescent="0.2">
      <c r="A221" s="27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</row>
    <row r="222" spans="1:17" ht="12.75" customHeight="1" x14ac:dyDescent="0.2">
      <c r="A222" s="27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</row>
    <row r="223" spans="1:17" ht="12.75" customHeight="1" x14ac:dyDescent="0.2">
      <c r="A223" s="27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</row>
    <row r="224" spans="1:17" ht="12.75" customHeight="1" x14ac:dyDescent="0.2">
      <c r="A224" s="27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</row>
    <row r="225" spans="1:17" ht="12.75" customHeight="1" x14ac:dyDescent="0.2">
      <c r="A225" s="27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</row>
    <row r="226" spans="1:17" ht="12.75" customHeight="1" x14ac:dyDescent="0.2">
      <c r="A226" s="27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</row>
    <row r="227" spans="1:17" ht="12.75" customHeight="1" x14ac:dyDescent="0.2">
      <c r="A227" s="27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</row>
    <row r="228" spans="1:17" ht="12.75" customHeight="1" x14ac:dyDescent="0.2">
      <c r="A228" s="27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</row>
    <row r="229" spans="1:17" ht="12.75" customHeight="1" x14ac:dyDescent="0.2">
      <c r="A229" s="27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</row>
    <row r="230" spans="1:17" ht="12.75" customHeight="1" x14ac:dyDescent="0.2">
      <c r="A230" s="27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</row>
    <row r="231" spans="1:17" ht="12.75" customHeight="1" x14ac:dyDescent="0.2">
      <c r="A231" s="27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</row>
    <row r="232" spans="1:17" ht="12.75" customHeight="1" x14ac:dyDescent="0.2">
      <c r="A232" s="27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</row>
    <row r="233" spans="1:17" ht="12.75" customHeight="1" x14ac:dyDescent="0.2">
      <c r="A233" s="27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</row>
    <row r="234" spans="1:17" ht="12.75" customHeight="1" x14ac:dyDescent="0.2">
      <c r="A234" s="27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</row>
    <row r="235" spans="1:17" ht="12.75" customHeight="1" x14ac:dyDescent="0.2">
      <c r="A235" s="27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</row>
    <row r="236" spans="1:17" ht="12.75" customHeight="1" x14ac:dyDescent="0.2">
      <c r="A236" s="27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</row>
    <row r="237" spans="1:17" ht="12.75" customHeight="1" x14ac:dyDescent="0.2">
      <c r="A237" s="27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</row>
    <row r="238" spans="1:17" ht="12.75" customHeight="1" x14ac:dyDescent="0.2">
      <c r="A238" s="27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</row>
    <row r="239" spans="1:17" ht="12.75" customHeight="1" x14ac:dyDescent="0.2">
      <c r="A239" s="27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</row>
    <row r="240" spans="1:17" ht="12.75" customHeight="1" x14ac:dyDescent="0.2">
      <c r="A240" s="27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</row>
    <row r="241" spans="1:17" ht="12.75" customHeight="1" x14ac:dyDescent="0.2">
      <c r="A241" s="27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</row>
    <row r="242" spans="1:17" ht="12.75" customHeight="1" x14ac:dyDescent="0.2">
      <c r="A242" s="27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</row>
    <row r="243" spans="1:17" ht="12.75" customHeight="1" x14ac:dyDescent="0.2">
      <c r="A243" s="27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</row>
    <row r="244" spans="1:17" ht="12.75" customHeight="1" x14ac:dyDescent="0.2">
      <c r="A244" s="27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</row>
    <row r="245" spans="1:17" ht="12.75" customHeight="1" x14ac:dyDescent="0.2">
      <c r="A245" s="27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</row>
    <row r="246" spans="1:17" ht="12.75" customHeight="1" x14ac:dyDescent="0.2">
      <c r="A246" s="27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</row>
    <row r="247" spans="1:17" ht="12.75" customHeight="1" x14ac:dyDescent="0.2">
      <c r="A247" s="27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</row>
    <row r="248" spans="1:17" ht="12.75" customHeight="1" x14ac:dyDescent="0.2">
      <c r="A248" s="27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</row>
    <row r="249" spans="1:17" ht="12.75" customHeight="1" x14ac:dyDescent="0.2">
      <c r="A249" s="27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</row>
    <row r="250" spans="1:17" ht="12.75" customHeight="1" x14ac:dyDescent="0.2">
      <c r="A250" s="27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</row>
    <row r="251" spans="1:17" ht="12.75" customHeight="1" x14ac:dyDescent="0.2">
      <c r="A251" s="27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</row>
    <row r="252" spans="1:17" ht="12.75" customHeight="1" x14ac:dyDescent="0.2">
      <c r="A252" s="27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</row>
    <row r="253" spans="1:17" ht="12.75" customHeight="1" x14ac:dyDescent="0.2">
      <c r="A253" s="27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</row>
    <row r="254" spans="1:17" ht="12.75" customHeight="1" x14ac:dyDescent="0.2">
      <c r="A254" s="27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</row>
    <row r="255" spans="1:17" ht="12.75" customHeight="1" x14ac:dyDescent="0.2">
      <c r="A255" s="27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</row>
    <row r="256" spans="1:17" ht="12.75" customHeight="1" x14ac:dyDescent="0.2">
      <c r="A256" s="27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</row>
    <row r="257" spans="1:17" ht="12.75" customHeight="1" x14ac:dyDescent="0.2">
      <c r="A257" s="27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</row>
    <row r="258" spans="1:17" ht="12.75" customHeight="1" x14ac:dyDescent="0.2">
      <c r="A258" s="27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</row>
    <row r="259" spans="1:17" ht="12.75" customHeight="1" x14ac:dyDescent="0.2">
      <c r="A259" s="27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</row>
    <row r="260" spans="1:17" ht="12.75" customHeight="1" x14ac:dyDescent="0.2">
      <c r="A260" s="27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</row>
    <row r="261" spans="1:17" ht="12.75" customHeight="1" x14ac:dyDescent="0.2">
      <c r="A261" s="27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</row>
    <row r="262" spans="1:17" ht="12.75" customHeight="1" x14ac:dyDescent="0.2">
      <c r="A262" s="27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</row>
    <row r="263" spans="1:17" ht="12.75" customHeight="1" x14ac:dyDescent="0.2">
      <c r="A263" s="27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</row>
    <row r="264" spans="1:17" ht="12.75" customHeight="1" x14ac:dyDescent="0.2">
      <c r="A264" s="27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</row>
    <row r="265" spans="1:17" ht="12.75" customHeight="1" x14ac:dyDescent="0.2">
      <c r="A265" s="27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</row>
    <row r="266" spans="1:17" ht="12.75" customHeight="1" x14ac:dyDescent="0.2">
      <c r="A266" s="27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</row>
    <row r="267" spans="1:17" ht="12.75" customHeight="1" x14ac:dyDescent="0.2">
      <c r="A267" s="27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</row>
    <row r="268" spans="1:17" ht="12.75" customHeight="1" x14ac:dyDescent="0.2">
      <c r="A268" s="27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</row>
    <row r="269" spans="1:17" ht="12.75" customHeight="1" x14ac:dyDescent="0.2">
      <c r="A269" s="27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</row>
    <row r="270" spans="1:17" ht="12.75" customHeight="1" x14ac:dyDescent="0.2">
      <c r="A270" s="27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</row>
    <row r="271" spans="1:17" ht="12.75" customHeight="1" x14ac:dyDescent="0.2">
      <c r="A271" s="27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</row>
    <row r="272" spans="1:17" ht="12.75" customHeight="1" x14ac:dyDescent="0.2">
      <c r="A272" s="27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</row>
    <row r="273" spans="1:17" ht="12.75" customHeight="1" x14ac:dyDescent="0.2">
      <c r="A273" s="27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</row>
    <row r="274" spans="1:17" ht="12.75" customHeight="1" x14ac:dyDescent="0.2">
      <c r="A274" s="27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</row>
    <row r="275" spans="1:17" ht="12.75" customHeight="1" x14ac:dyDescent="0.2">
      <c r="A275" s="27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</row>
    <row r="276" spans="1:17" ht="12.75" customHeight="1" x14ac:dyDescent="0.2">
      <c r="A276" s="27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</row>
    <row r="277" spans="1:17" ht="12.75" customHeight="1" x14ac:dyDescent="0.2">
      <c r="A277" s="27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</row>
    <row r="278" spans="1:17" ht="12.75" customHeight="1" x14ac:dyDescent="0.2">
      <c r="A278" s="27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</row>
    <row r="279" spans="1:17" ht="12.75" customHeight="1" x14ac:dyDescent="0.2">
      <c r="A279" s="27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</row>
    <row r="280" spans="1:17" ht="12.75" customHeight="1" x14ac:dyDescent="0.2">
      <c r="A280" s="27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</row>
    <row r="281" spans="1:17" ht="12.75" customHeight="1" x14ac:dyDescent="0.2">
      <c r="A281" s="27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</row>
    <row r="282" spans="1:17" ht="12.75" customHeight="1" x14ac:dyDescent="0.2">
      <c r="A282" s="27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</row>
    <row r="283" spans="1:17" ht="12.75" customHeight="1" x14ac:dyDescent="0.2">
      <c r="A283" s="27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</row>
    <row r="284" spans="1:17" ht="12.75" customHeight="1" x14ac:dyDescent="0.2">
      <c r="A284" s="27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</row>
    <row r="285" spans="1:17" ht="12.75" customHeight="1" x14ac:dyDescent="0.2">
      <c r="A285" s="27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</row>
    <row r="286" spans="1:17" ht="12.75" customHeight="1" x14ac:dyDescent="0.2">
      <c r="A286" s="27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</row>
    <row r="287" spans="1:17" ht="12.75" customHeight="1" x14ac:dyDescent="0.2">
      <c r="A287" s="27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</row>
    <row r="288" spans="1:17" ht="12.75" customHeight="1" x14ac:dyDescent="0.2">
      <c r="A288" s="27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</row>
    <row r="289" spans="1:17" ht="12.75" customHeight="1" x14ac:dyDescent="0.2">
      <c r="A289" s="27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</row>
    <row r="290" spans="1:17" ht="12.75" customHeight="1" x14ac:dyDescent="0.2">
      <c r="A290" s="27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</row>
    <row r="291" spans="1:17" ht="12.75" customHeight="1" x14ac:dyDescent="0.2">
      <c r="A291" s="27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</row>
    <row r="292" spans="1:17" ht="12.75" customHeight="1" x14ac:dyDescent="0.2">
      <c r="A292" s="27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</row>
    <row r="293" spans="1:17" ht="12.75" customHeight="1" x14ac:dyDescent="0.2">
      <c r="A293" s="27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</row>
    <row r="294" spans="1:17" ht="12.75" customHeight="1" x14ac:dyDescent="0.2">
      <c r="A294" s="27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</row>
    <row r="295" spans="1:17" ht="12.75" customHeight="1" x14ac:dyDescent="0.2">
      <c r="A295" s="27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</row>
    <row r="296" spans="1:17" ht="12.75" customHeight="1" x14ac:dyDescent="0.2">
      <c r="A296" s="27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</row>
    <row r="297" spans="1:17" ht="12.75" customHeight="1" x14ac:dyDescent="0.2">
      <c r="A297" s="27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</row>
    <row r="298" spans="1:17" ht="12.75" customHeight="1" x14ac:dyDescent="0.2">
      <c r="A298" s="27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</row>
    <row r="299" spans="1:17" ht="12.75" customHeight="1" x14ac:dyDescent="0.2">
      <c r="A299" s="27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</row>
    <row r="300" spans="1:17" ht="12.75" customHeight="1" x14ac:dyDescent="0.2">
      <c r="A300" s="27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</row>
    <row r="301" spans="1:17" ht="12.75" customHeight="1" x14ac:dyDescent="0.2">
      <c r="A301" s="27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</row>
    <row r="302" spans="1:17" ht="12.75" customHeight="1" x14ac:dyDescent="0.2">
      <c r="A302" s="27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</row>
    <row r="303" spans="1:17" ht="12.75" customHeight="1" x14ac:dyDescent="0.2">
      <c r="A303" s="27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</row>
    <row r="304" spans="1:17" ht="12.75" customHeight="1" x14ac:dyDescent="0.2">
      <c r="A304" s="27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</row>
    <row r="305" spans="1:17" ht="12.75" customHeight="1" x14ac:dyDescent="0.2">
      <c r="A305" s="27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</row>
    <row r="306" spans="1:17" ht="12.75" customHeight="1" x14ac:dyDescent="0.2">
      <c r="A306" s="27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</row>
    <row r="307" spans="1:17" ht="12.75" customHeight="1" x14ac:dyDescent="0.2">
      <c r="A307" s="27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</row>
    <row r="308" spans="1:17" ht="12.75" customHeight="1" x14ac:dyDescent="0.2">
      <c r="A308" s="27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</row>
    <row r="309" spans="1:17" ht="12.75" customHeight="1" x14ac:dyDescent="0.2">
      <c r="A309" s="27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</row>
    <row r="310" spans="1:17" ht="12.75" customHeight="1" x14ac:dyDescent="0.2">
      <c r="A310" s="27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</row>
    <row r="311" spans="1:17" ht="12.75" customHeight="1" x14ac:dyDescent="0.2">
      <c r="A311" s="27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</row>
    <row r="312" spans="1:17" ht="12.75" customHeight="1" x14ac:dyDescent="0.2">
      <c r="A312" s="27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</row>
    <row r="313" spans="1:17" ht="12.75" customHeight="1" x14ac:dyDescent="0.2">
      <c r="A313" s="27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</row>
    <row r="314" spans="1:17" ht="12.75" customHeight="1" x14ac:dyDescent="0.2">
      <c r="A314" s="27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</row>
    <row r="315" spans="1:17" ht="12.75" customHeight="1" x14ac:dyDescent="0.2">
      <c r="A315" s="27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</row>
    <row r="316" spans="1:17" ht="12.75" customHeight="1" x14ac:dyDescent="0.2">
      <c r="A316" s="27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</row>
    <row r="317" spans="1:17" ht="12.75" customHeight="1" x14ac:dyDescent="0.2">
      <c r="A317" s="27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</row>
    <row r="318" spans="1:17" ht="12.75" customHeight="1" x14ac:dyDescent="0.2">
      <c r="A318" s="27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</row>
    <row r="319" spans="1:17" ht="12.75" customHeight="1" x14ac:dyDescent="0.2">
      <c r="A319" s="27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</row>
    <row r="320" spans="1:17" ht="12.75" customHeight="1" x14ac:dyDescent="0.2">
      <c r="A320" s="27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</row>
    <row r="321" spans="1:17" ht="12.75" customHeight="1" x14ac:dyDescent="0.2">
      <c r="A321" s="27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</row>
    <row r="322" spans="1:17" ht="12.75" customHeight="1" x14ac:dyDescent="0.2">
      <c r="A322" s="27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</row>
    <row r="323" spans="1:17" ht="12.75" customHeight="1" x14ac:dyDescent="0.2">
      <c r="A323" s="27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</row>
    <row r="324" spans="1:17" ht="12.75" customHeight="1" x14ac:dyDescent="0.2">
      <c r="A324" s="27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</row>
    <row r="325" spans="1:17" ht="12.75" customHeight="1" x14ac:dyDescent="0.2">
      <c r="A325" s="27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</row>
    <row r="326" spans="1:17" ht="12.75" customHeight="1" x14ac:dyDescent="0.2">
      <c r="A326" s="27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</row>
    <row r="327" spans="1:17" ht="12.75" customHeight="1" x14ac:dyDescent="0.2">
      <c r="A327" s="27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</row>
    <row r="328" spans="1:17" ht="12.75" customHeight="1" x14ac:dyDescent="0.2">
      <c r="A328" s="27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</row>
    <row r="329" spans="1:17" ht="12.75" customHeight="1" x14ac:dyDescent="0.2">
      <c r="A329" s="27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</row>
    <row r="330" spans="1:17" ht="12.75" customHeight="1" x14ac:dyDescent="0.2">
      <c r="A330" s="27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</row>
    <row r="331" spans="1:17" ht="12.75" customHeight="1" x14ac:dyDescent="0.2">
      <c r="A331" s="27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</row>
    <row r="332" spans="1:17" ht="12.75" customHeight="1" x14ac:dyDescent="0.2">
      <c r="A332" s="27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</row>
    <row r="333" spans="1:17" ht="12.75" customHeight="1" x14ac:dyDescent="0.2">
      <c r="A333" s="27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</row>
    <row r="334" spans="1:17" ht="12.75" customHeight="1" x14ac:dyDescent="0.2">
      <c r="A334" s="27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</row>
    <row r="335" spans="1:17" ht="12.75" customHeight="1" x14ac:dyDescent="0.2">
      <c r="A335" s="27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</row>
    <row r="336" spans="1:17" ht="12.75" customHeight="1" x14ac:dyDescent="0.2">
      <c r="A336" s="27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</row>
    <row r="337" spans="1:17" ht="12.75" customHeight="1" x14ac:dyDescent="0.2">
      <c r="A337" s="27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</row>
    <row r="338" spans="1:17" ht="12.75" customHeight="1" x14ac:dyDescent="0.2">
      <c r="A338" s="27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</row>
    <row r="339" spans="1:17" ht="12.75" customHeight="1" x14ac:dyDescent="0.2">
      <c r="A339" s="27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</row>
    <row r="340" spans="1:17" ht="12.75" customHeight="1" x14ac:dyDescent="0.2">
      <c r="A340" s="27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</row>
    <row r="341" spans="1:17" ht="12.75" customHeight="1" x14ac:dyDescent="0.2">
      <c r="A341" s="27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</row>
    <row r="342" spans="1:17" ht="12.75" customHeight="1" x14ac:dyDescent="0.2">
      <c r="A342" s="27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</row>
    <row r="343" spans="1:17" ht="12.75" customHeight="1" x14ac:dyDescent="0.2">
      <c r="A343" s="27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</row>
    <row r="344" spans="1:17" ht="12.75" customHeight="1" x14ac:dyDescent="0.2">
      <c r="A344" s="27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</row>
    <row r="345" spans="1:17" ht="12.75" customHeight="1" x14ac:dyDescent="0.2">
      <c r="A345" s="27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</row>
    <row r="346" spans="1:17" ht="12.75" customHeight="1" x14ac:dyDescent="0.2">
      <c r="A346" s="27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</row>
    <row r="347" spans="1:17" ht="12.75" customHeight="1" x14ac:dyDescent="0.2">
      <c r="A347" s="27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</row>
    <row r="348" spans="1:17" ht="12.75" customHeight="1" x14ac:dyDescent="0.2">
      <c r="A348" s="27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</row>
    <row r="349" spans="1:17" ht="12.75" customHeight="1" x14ac:dyDescent="0.2">
      <c r="A349" s="27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</row>
    <row r="350" spans="1:17" ht="12.75" customHeight="1" x14ac:dyDescent="0.2">
      <c r="A350" s="27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</row>
    <row r="351" spans="1:17" ht="12.75" customHeight="1" x14ac:dyDescent="0.2">
      <c r="A351" s="27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</row>
    <row r="352" spans="1:17" ht="12.75" customHeight="1" x14ac:dyDescent="0.2">
      <c r="A352" s="27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</row>
    <row r="353" spans="1:17" ht="12.75" customHeight="1" x14ac:dyDescent="0.2">
      <c r="A353" s="27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</row>
    <row r="354" spans="1:17" ht="12.75" customHeight="1" x14ac:dyDescent="0.2">
      <c r="A354" s="27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</row>
    <row r="355" spans="1:17" ht="12.75" customHeight="1" x14ac:dyDescent="0.2">
      <c r="A355" s="27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</row>
    <row r="356" spans="1:17" ht="12.75" customHeight="1" x14ac:dyDescent="0.2">
      <c r="A356" s="27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</row>
    <row r="357" spans="1:17" ht="12.75" customHeight="1" x14ac:dyDescent="0.2">
      <c r="A357" s="27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</row>
    <row r="358" spans="1:17" ht="12.75" customHeight="1" x14ac:dyDescent="0.2">
      <c r="A358" s="27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</row>
    <row r="359" spans="1:17" ht="12.75" customHeight="1" x14ac:dyDescent="0.2">
      <c r="A359" s="27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</row>
    <row r="360" spans="1:17" ht="12.75" customHeight="1" x14ac:dyDescent="0.2">
      <c r="A360" s="27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</row>
    <row r="361" spans="1:17" ht="12.75" customHeight="1" x14ac:dyDescent="0.2">
      <c r="A361" s="27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</row>
    <row r="362" spans="1:17" ht="12.75" customHeight="1" x14ac:dyDescent="0.2">
      <c r="A362" s="27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</row>
    <row r="363" spans="1:17" ht="12.75" customHeight="1" x14ac:dyDescent="0.2">
      <c r="A363" s="27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</row>
    <row r="364" spans="1:17" ht="12.75" customHeight="1" x14ac:dyDescent="0.2">
      <c r="A364" s="27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</row>
    <row r="365" spans="1:17" ht="12.75" customHeight="1" x14ac:dyDescent="0.2">
      <c r="A365" s="27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</row>
    <row r="366" spans="1:17" ht="12.75" customHeight="1" x14ac:dyDescent="0.2">
      <c r="A366" s="27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</row>
    <row r="367" spans="1:17" ht="12.75" customHeight="1" x14ac:dyDescent="0.2">
      <c r="A367" s="27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</row>
    <row r="368" spans="1:17" ht="12.75" customHeight="1" x14ac:dyDescent="0.2">
      <c r="A368" s="27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</row>
    <row r="369" spans="1:17" ht="12.75" customHeight="1" x14ac:dyDescent="0.2">
      <c r="A369" s="27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</row>
    <row r="370" spans="1:17" ht="12.75" customHeight="1" x14ac:dyDescent="0.2">
      <c r="A370" s="27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</row>
    <row r="371" spans="1:17" ht="12.75" customHeight="1" x14ac:dyDescent="0.2">
      <c r="A371" s="27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</row>
    <row r="372" spans="1:17" ht="12.75" customHeight="1" x14ac:dyDescent="0.2">
      <c r="A372" s="27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</row>
    <row r="373" spans="1:17" ht="12.75" customHeight="1" x14ac:dyDescent="0.2">
      <c r="A373" s="27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</row>
    <row r="374" spans="1:17" ht="12.75" customHeight="1" x14ac:dyDescent="0.2">
      <c r="A374" s="27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</row>
    <row r="375" spans="1:17" ht="12.75" customHeight="1" x14ac:dyDescent="0.2">
      <c r="A375" s="27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</row>
    <row r="376" spans="1:17" ht="12.75" customHeight="1" x14ac:dyDescent="0.2">
      <c r="A376" s="27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</row>
    <row r="377" spans="1:17" ht="12.75" customHeight="1" x14ac:dyDescent="0.2">
      <c r="A377" s="27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</row>
    <row r="378" spans="1:17" ht="12.75" customHeight="1" x14ac:dyDescent="0.2">
      <c r="A378" s="27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</row>
    <row r="379" spans="1:17" ht="12.75" customHeight="1" x14ac:dyDescent="0.2">
      <c r="A379" s="27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</row>
    <row r="380" spans="1:17" ht="12.75" customHeight="1" x14ac:dyDescent="0.2">
      <c r="A380" s="27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</row>
    <row r="381" spans="1:17" ht="12.75" customHeight="1" x14ac:dyDescent="0.2">
      <c r="A381" s="27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</row>
    <row r="382" spans="1:17" ht="12.75" customHeight="1" x14ac:dyDescent="0.2">
      <c r="A382" s="27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</row>
    <row r="383" spans="1:17" ht="12.75" customHeight="1" x14ac:dyDescent="0.2">
      <c r="A383" s="27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</row>
    <row r="384" spans="1:17" ht="12.75" customHeight="1" x14ac:dyDescent="0.2">
      <c r="A384" s="27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</row>
    <row r="385" spans="1:17" ht="12.75" customHeight="1" x14ac:dyDescent="0.2">
      <c r="A385" s="27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</row>
    <row r="386" spans="1:17" ht="12.75" customHeight="1" x14ac:dyDescent="0.2">
      <c r="A386" s="27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</row>
    <row r="387" spans="1:17" ht="12.75" customHeight="1" x14ac:dyDescent="0.2">
      <c r="A387" s="27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</row>
    <row r="388" spans="1:17" ht="12.75" customHeight="1" x14ac:dyDescent="0.2">
      <c r="A388" s="27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</row>
    <row r="389" spans="1:17" ht="12.75" customHeight="1" x14ac:dyDescent="0.2">
      <c r="A389" s="27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</row>
    <row r="390" spans="1:17" ht="12.75" customHeight="1" x14ac:dyDescent="0.2">
      <c r="A390" s="27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</row>
    <row r="391" spans="1:17" ht="12.75" customHeight="1" x14ac:dyDescent="0.2">
      <c r="A391" s="27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</row>
    <row r="392" spans="1:17" ht="12.75" customHeight="1" x14ac:dyDescent="0.2">
      <c r="A392" s="27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</row>
    <row r="393" spans="1:17" ht="12.75" customHeight="1" x14ac:dyDescent="0.2">
      <c r="A393" s="27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</row>
    <row r="394" spans="1:17" ht="12.75" customHeight="1" x14ac:dyDescent="0.2">
      <c r="A394" s="27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</row>
    <row r="395" spans="1:17" ht="12.75" customHeight="1" x14ac:dyDescent="0.2">
      <c r="A395" s="27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</row>
    <row r="396" spans="1:17" ht="12.75" customHeight="1" x14ac:dyDescent="0.2">
      <c r="A396" s="27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</row>
    <row r="397" spans="1:17" ht="12.75" customHeight="1" x14ac:dyDescent="0.2">
      <c r="A397" s="27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</row>
    <row r="398" spans="1:17" ht="12.75" customHeight="1" x14ac:dyDescent="0.2">
      <c r="A398" s="27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</row>
    <row r="399" spans="1:17" ht="12.75" customHeight="1" x14ac:dyDescent="0.2">
      <c r="A399" s="27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</row>
    <row r="400" spans="1:17" ht="12.75" customHeight="1" x14ac:dyDescent="0.2">
      <c r="A400" s="27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</row>
    <row r="401" spans="1:17" ht="12.75" customHeight="1" x14ac:dyDescent="0.2">
      <c r="A401" s="27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</row>
    <row r="402" spans="1:17" ht="12.75" customHeight="1" x14ac:dyDescent="0.2">
      <c r="A402" s="27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</row>
    <row r="403" spans="1:17" ht="12.75" customHeight="1" x14ac:dyDescent="0.2">
      <c r="A403" s="27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</row>
    <row r="404" spans="1:17" ht="12.75" customHeight="1" x14ac:dyDescent="0.2">
      <c r="A404" s="27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</row>
    <row r="405" spans="1:17" ht="12.75" customHeight="1" x14ac:dyDescent="0.2">
      <c r="A405" s="27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</row>
    <row r="406" spans="1:17" ht="12.75" customHeight="1" x14ac:dyDescent="0.2">
      <c r="A406" s="27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</row>
    <row r="407" spans="1:17" ht="12.75" customHeight="1" x14ac:dyDescent="0.2">
      <c r="A407" s="27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</row>
    <row r="408" spans="1:17" ht="12.75" customHeight="1" x14ac:dyDescent="0.2">
      <c r="A408" s="27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</row>
    <row r="409" spans="1:17" ht="12.75" customHeight="1" x14ac:dyDescent="0.2">
      <c r="A409" s="27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</row>
    <row r="410" spans="1:17" ht="12.75" customHeight="1" x14ac:dyDescent="0.2">
      <c r="A410" s="27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</row>
    <row r="411" spans="1:17" ht="12.75" customHeight="1" x14ac:dyDescent="0.2">
      <c r="A411" s="27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</row>
    <row r="412" spans="1:17" ht="12.75" customHeight="1" x14ac:dyDescent="0.2">
      <c r="A412" s="27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</row>
    <row r="413" spans="1:17" ht="12.75" customHeight="1" x14ac:dyDescent="0.2">
      <c r="A413" s="27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</row>
    <row r="414" spans="1:17" ht="12.75" customHeight="1" x14ac:dyDescent="0.2">
      <c r="A414" s="27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</row>
    <row r="415" spans="1:17" ht="12.75" customHeight="1" x14ac:dyDescent="0.2">
      <c r="A415" s="27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</row>
    <row r="416" spans="1:17" ht="12.75" customHeight="1" x14ac:dyDescent="0.2">
      <c r="A416" s="27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</row>
    <row r="417" spans="1:17" ht="12.75" customHeight="1" x14ac:dyDescent="0.2">
      <c r="A417" s="27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</row>
    <row r="418" spans="1:17" ht="12.75" customHeight="1" x14ac:dyDescent="0.2">
      <c r="A418" s="27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</row>
    <row r="419" spans="1:17" ht="12.75" customHeight="1" x14ac:dyDescent="0.2">
      <c r="A419" s="27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</row>
    <row r="420" spans="1:17" ht="12.75" customHeight="1" x14ac:dyDescent="0.2">
      <c r="A420" s="27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</row>
    <row r="421" spans="1:17" ht="12.75" customHeight="1" x14ac:dyDescent="0.2">
      <c r="A421" s="27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</row>
    <row r="422" spans="1:17" ht="12.75" customHeight="1" x14ac:dyDescent="0.2">
      <c r="A422" s="27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</row>
    <row r="423" spans="1:17" ht="12.75" customHeight="1" x14ac:dyDescent="0.2">
      <c r="A423" s="27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</row>
    <row r="424" spans="1:17" ht="12.75" customHeight="1" x14ac:dyDescent="0.2">
      <c r="A424" s="27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</row>
    <row r="425" spans="1:17" ht="12.75" customHeight="1" x14ac:dyDescent="0.2">
      <c r="A425" s="27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</row>
    <row r="426" spans="1:17" ht="12.75" customHeight="1" x14ac:dyDescent="0.2">
      <c r="A426" s="27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</row>
    <row r="427" spans="1:17" ht="12.75" customHeight="1" x14ac:dyDescent="0.2">
      <c r="A427" s="27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</row>
    <row r="428" spans="1:17" ht="12.75" customHeight="1" x14ac:dyDescent="0.2">
      <c r="A428" s="27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</row>
    <row r="429" spans="1:17" ht="12.75" customHeight="1" x14ac:dyDescent="0.2">
      <c r="A429" s="27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</row>
    <row r="430" spans="1:17" ht="12.75" customHeight="1" x14ac:dyDescent="0.2">
      <c r="A430" s="27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</row>
    <row r="431" spans="1:17" ht="12.75" customHeight="1" x14ac:dyDescent="0.2">
      <c r="A431" s="27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</row>
    <row r="432" spans="1:17" ht="12.75" customHeight="1" x14ac:dyDescent="0.2">
      <c r="A432" s="27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</row>
    <row r="433" spans="1:17" ht="12.75" customHeight="1" x14ac:dyDescent="0.2">
      <c r="A433" s="27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</row>
    <row r="434" spans="1:17" ht="12.75" customHeight="1" x14ac:dyDescent="0.2">
      <c r="A434" s="27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</row>
    <row r="435" spans="1:17" ht="12.75" customHeight="1" x14ac:dyDescent="0.2">
      <c r="A435" s="27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</row>
    <row r="436" spans="1:17" ht="12.75" customHeight="1" x14ac:dyDescent="0.2">
      <c r="A436" s="27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</row>
    <row r="437" spans="1:17" ht="12.75" customHeight="1" x14ac:dyDescent="0.2">
      <c r="A437" s="27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</row>
    <row r="438" spans="1:17" ht="12.75" customHeight="1" x14ac:dyDescent="0.2">
      <c r="A438" s="27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</row>
    <row r="439" spans="1:17" ht="12.75" customHeight="1" x14ac:dyDescent="0.2">
      <c r="A439" s="27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</row>
    <row r="440" spans="1:17" ht="12.75" customHeight="1" x14ac:dyDescent="0.2">
      <c r="A440" s="27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</row>
    <row r="441" spans="1:17" ht="12.75" customHeight="1" x14ac:dyDescent="0.2">
      <c r="A441" s="27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</row>
    <row r="442" spans="1:17" ht="12.75" customHeight="1" x14ac:dyDescent="0.2">
      <c r="A442" s="27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</row>
    <row r="443" spans="1:17" ht="12.75" customHeight="1" x14ac:dyDescent="0.2">
      <c r="A443" s="27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</row>
    <row r="444" spans="1:17" ht="12.75" customHeight="1" x14ac:dyDescent="0.2">
      <c r="A444" s="27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</row>
    <row r="445" spans="1:17" ht="12.75" customHeight="1" x14ac:dyDescent="0.2">
      <c r="A445" s="27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</row>
    <row r="446" spans="1:17" ht="12.75" customHeight="1" x14ac:dyDescent="0.2">
      <c r="A446" s="27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</row>
    <row r="447" spans="1:17" ht="12.75" customHeight="1" x14ac:dyDescent="0.2">
      <c r="A447" s="27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</row>
    <row r="448" spans="1:17" ht="12.75" customHeight="1" x14ac:dyDescent="0.2">
      <c r="A448" s="27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</row>
    <row r="449" spans="1:17" ht="12.75" customHeight="1" x14ac:dyDescent="0.2">
      <c r="A449" s="27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</row>
    <row r="450" spans="1:17" ht="12.75" customHeight="1" x14ac:dyDescent="0.2">
      <c r="A450" s="27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</row>
    <row r="451" spans="1:17" ht="12.75" customHeight="1" x14ac:dyDescent="0.2">
      <c r="A451" s="27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</row>
    <row r="452" spans="1:17" ht="12.75" customHeight="1" x14ac:dyDescent="0.2">
      <c r="A452" s="27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</row>
    <row r="453" spans="1:17" ht="12.75" customHeight="1" x14ac:dyDescent="0.2">
      <c r="A453" s="27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</row>
    <row r="454" spans="1:17" ht="12.75" customHeight="1" x14ac:dyDescent="0.2">
      <c r="A454" s="27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</row>
    <row r="455" spans="1:17" ht="12.75" customHeight="1" x14ac:dyDescent="0.2">
      <c r="A455" s="27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</row>
    <row r="456" spans="1:17" ht="12.75" customHeight="1" x14ac:dyDescent="0.2">
      <c r="A456" s="27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</row>
    <row r="457" spans="1:17" ht="12.75" customHeight="1" x14ac:dyDescent="0.2">
      <c r="A457" s="27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</row>
    <row r="458" spans="1:17" ht="12.75" customHeight="1" x14ac:dyDescent="0.2">
      <c r="A458" s="27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</row>
    <row r="459" spans="1:17" ht="12.75" customHeight="1" x14ac:dyDescent="0.2">
      <c r="A459" s="27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</row>
    <row r="460" spans="1:17" ht="12.75" customHeight="1" x14ac:dyDescent="0.2">
      <c r="A460" s="27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</row>
    <row r="461" spans="1:17" ht="12.75" customHeight="1" x14ac:dyDescent="0.2">
      <c r="A461" s="27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</row>
    <row r="462" spans="1:17" ht="12.75" customHeight="1" x14ac:dyDescent="0.2">
      <c r="A462" s="27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</row>
    <row r="463" spans="1:17" ht="12.75" customHeight="1" x14ac:dyDescent="0.2">
      <c r="A463" s="27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</row>
    <row r="464" spans="1:17" ht="12.75" customHeight="1" x14ac:dyDescent="0.2">
      <c r="A464" s="27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</row>
    <row r="465" spans="1:17" ht="12.75" customHeight="1" x14ac:dyDescent="0.2">
      <c r="A465" s="27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</row>
    <row r="466" spans="1:17" ht="12.75" customHeight="1" x14ac:dyDescent="0.2">
      <c r="A466" s="27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</row>
    <row r="467" spans="1:17" ht="12.75" customHeight="1" x14ac:dyDescent="0.2">
      <c r="A467" s="27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</row>
    <row r="468" spans="1:17" ht="12.75" customHeight="1" x14ac:dyDescent="0.2">
      <c r="A468" s="27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</row>
    <row r="469" spans="1:17" ht="12.75" customHeight="1" x14ac:dyDescent="0.2">
      <c r="A469" s="27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</row>
    <row r="470" spans="1:17" ht="12.75" customHeight="1" x14ac:dyDescent="0.2">
      <c r="A470" s="27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</row>
    <row r="471" spans="1:17" ht="12.75" customHeight="1" x14ac:dyDescent="0.2">
      <c r="A471" s="27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</row>
    <row r="472" spans="1:17" ht="12.75" customHeight="1" x14ac:dyDescent="0.2">
      <c r="A472" s="27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</row>
    <row r="473" spans="1:17" ht="12.75" customHeight="1" x14ac:dyDescent="0.2">
      <c r="A473" s="27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</row>
    <row r="474" spans="1:17" ht="12.75" customHeight="1" x14ac:dyDescent="0.2">
      <c r="A474" s="27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</row>
    <row r="475" spans="1:17" ht="12.75" customHeight="1" x14ac:dyDescent="0.2">
      <c r="A475" s="27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</row>
    <row r="476" spans="1:17" ht="12.75" customHeight="1" x14ac:dyDescent="0.2">
      <c r="A476" s="27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</row>
    <row r="477" spans="1:17" ht="12.75" customHeight="1" x14ac:dyDescent="0.2">
      <c r="A477" s="27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</row>
    <row r="478" spans="1:17" ht="12.75" customHeight="1" x14ac:dyDescent="0.2">
      <c r="A478" s="27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</row>
    <row r="479" spans="1:17" ht="12.75" customHeight="1" x14ac:dyDescent="0.2">
      <c r="A479" s="27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</row>
    <row r="480" spans="1:17" ht="12.75" customHeight="1" x14ac:dyDescent="0.2">
      <c r="A480" s="27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</row>
    <row r="481" spans="1:17" ht="12.75" customHeight="1" x14ac:dyDescent="0.2">
      <c r="A481" s="27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</row>
    <row r="482" spans="1:17" ht="12.75" customHeight="1" x14ac:dyDescent="0.2">
      <c r="A482" s="27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</row>
    <row r="483" spans="1:17" ht="12.75" customHeight="1" x14ac:dyDescent="0.2">
      <c r="A483" s="27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</row>
    <row r="484" spans="1:17" ht="12.75" customHeight="1" x14ac:dyDescent="0.2">
      <c r="A484" s="27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</row>
    <row r="485" spans="1:17" ht="12.75" customHeight="1" x14ac:dyDescent="0.2">
      <c r="A485" s="27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</row>
    <row r="486" spans="1:17" ht="12.75" customHeight="1" x14ac:dyDescent="0.2">
      <c r="A486" s="27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</row>
    <row r="487" spans="1:17" ht="12.75" customHeight="1" x14ac:dyDescent="0.2">
      <c r="A487" s="27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</row>
    <row r="488" spans="1:17" ht="12.75" customHeight="1" x14ac:dyDescent="0.2">
      <c r="A488" s="27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</row>
    <row r="489" spans="1:17" ht="12.75" customHeight="1" x14ac:dyDescent="0.2">
      <c r="A489" s="27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</row>
    <row r="490" spans="1:17" ht="12.75" customHeight="1" x14ac:dyDescent="0.2">
      <c r="A490" s="27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</row>
    <row r="491" spans="1:17" ht="12.75" customHeight="1" x14ac:dyDescent="0.2">
      <c r="A491" s="27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</row>
    <row r="492" spans="1:17" ht="12.75" customHeight="1" x14ac:dyDescent="0.2">
      <c r="A492" s="27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</row>
    <row r="493" spans="1:17" ht="12.75" customHeight="1" x14ac:dyDescent="0.2">
      <c r="A493" s="27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</row>
    <row r="494" spans="1:17" ht="12.75" customHeight="1" x14ac:dyDescent="0.2">
      <c r="A494" s="27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</row>
    <row r="495" spans="1:17" ht="12.75" customHeight="1" x14ac:dyDescent="0.2">
      <c r="A495" s="27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</row>
    <row r="496" spans="1:17" ht="12.75" customHeight="1" x14ac:dyDescent="0.2">
      <c r="A496" s="27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</row>
    <row r="497" spans="1:17" ht="12.75" customHeight="1" x14ac:dyDescent="0.2">
      <c r="A497" s="27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</row>
    <row r="498" spans="1:17" ht="12.75" customHeight="1" x14ac:dyDescent="0.2">
      <c r="A498" s="27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</row>
    <row r="499" spans="1:17" ht="12.75" customHeight="1" x14ac:dyDescent="0.2">
      <c r="A499" s="27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</row>
    <row r="500" spans="1:17" ht="12.75" customHeight="1" x14ac:dyDescent="0.2">
      <c r="A500" s="27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</row>
    <row r="501" spans="1:17" ht="12.75" customHeight="1" x14ac:dyDescent="0.2">
      <c r="A501" s="27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</row>
    <row r="502" spans="1:17" ht="12.75" customHeight="1" x14ac:dyDescent="0.2">
      <c r="A502" s="27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</row>
    <row r="503" spans="1:17" ht="12.75" customHeight="1" x14ac:dyDescent="0.2">
      <c r="A503" s="27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</row>
    <row r="504" spans="1:17" ht="12.75" customHeight="1" x14ac:dyDescent="0.2">
      <c r="A504" s="27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</row>
    <row r="505" spans="1:17" ht="12.75" customHeight="1" x14ac:dyDescent="0.2">
      <c r="A505" s="27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</row>
    <row r="506" spans="1:17" ht="12.75" customHeight="1" x14ac:dyDescent="0.2">
      <c r="A506" s="27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</row>
    <row r="507" spans="1:17" ht="12.75" customHeight="1" x14ac:dyDescent="0.2">
      <c r="A507" s="27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</row>
    <row r="508" spans="1:17" ht="12.75" customHeight="1" x14ac:dyDescent="0.2">
      <c r="A508" s="27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</row>
    <row r="509" spans="1:17" ht="12.75" customHeight="1" x14ac:dyDescent="0.2">
      <c r="A509" s="27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</row>
    <row r="510" spans="1:17" ht="12.75" customHeight="1" x14ac:dyDescent="0.2">
      <c r="A510" s="27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</row>
    <row r="511" spans="1:17" ht="12.75" customHeight="1" x14ac:dyDescent="0.2">
      <c r="A511" s="27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</row>
    <row r="512" spans="1:17" ht="12.75" customHeight="1" x14ac:dyDescent="0.2">
      <c r="A512" s="27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</row>
    <row r="513" spans="1:17" ht="12.75" customHeight="1" x14ac:dyDescent="0.2">
      <c r="A513" s="27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</row>
    <row r="514" spans="1:17" ht="12.75" customHeight="1" x14ac:dyDescent="0.2">
      <c r="A514" s="27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</row>
    <row r="515" spans="1:17" ht="12.75" customHeight="1" x14ac:dyDescent="0.2">
      <c r="A515" s="27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</row>
    <row r="516" spans="1:17" ht="12.75" customHeight="1" x14ac:dyDescent="0.2">
      <c r="A516" s="27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</row>
    <row r="517" spans="1:17" ht="12.75" customHeight="1" x14ac:dyDescent="0.2">
      <c r="A517" s="27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</row>
    <row r="518" spans="1:17" ht="12.75" customHeight="1" x14ac:dyDescent="0.2">
      <c r="A518" s="27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</row>
    <row r="519" spans="1:17" ht="12.75" customHeight="1" x14ac:dyDescent="0.2">
      <c r="A519" s="27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</row>
    <row r="520" spans="1:17" ht="12.75" customHeight="1" x14ac:dyDescent="0.2">
      <c r="A520" s="27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</row>
    <row r="521" spans="1:17" ht="12.75" customHeight="1" x14ac:dyDescent="0.2">
      <c r="A521" s="27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</row>
    <row r="522" spans="1:17" ht="12.75" customHeight="1" x14ac:dyDescent="0.2">
      <c r="A522" s="27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</row>
    <row r="523" spans="1:17" ht="12.75" customHeight="1" x14ac:dyDescent="0.2">
      <c r="A523" s="27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</row>
    <row r="524" spans="1:17" ht="12.75" customHeight="1" x14ac:dyDescent="0.2">
      <c r="A524" s="27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</row>
    <row r="525" spans="1:17" ht="12.75" customHeight="1" x14ac:dyDescent="0.2">
      <c r="A525" s="27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</row>
    <row r="526" spans="1:17" ht="12.75" customHeight="1" x14ac:dyDescent="0.2">
      <c r="A526" s="27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</row>
    <row r="527" spans="1:17" ht="12.75" customHeight="1" x14ac:dyDescent="0.2">
      <c r="A527" s="27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</row>
    <row r="528" spans="1:17" ht="12.75" customHeight="1" x14ac:dyDescent="0.2">
      <c r="A528" s="27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</row>
    <row r="529" spans="1:17" ht="12.75" customHeight="1" x14ac:dyDescent="0.2">
      <c r="A529" s="27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</row>
    <row r="530" spans="1:17" ht="12.75" customHeight="1" x14ac:dyDescent="0.2">
      <c r="A530" s="27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</row>
    <row r="531" spans="1:17" ht="12.75" customHeight="1" x14ac:dyDescent="0.2">
      <c r="A531" s="27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</row>
    <row r="532" spans="1:17" ht="12.75" customHeight="1" x14ac:dyDescent="0.2">
      <c r="A532" s="27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</row>
    <row r="533" spans="1:17" ht="12.75" customHeight="1" x14ac:dyDescent="0.2">
      <c r="A533" s="27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</row>
    <row r="534" spans="1:17" ht="12.75" customHeight="1" x14ac:dyDescent="0.2">
      <c r="A534" s="27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</row>
    <row r="535" spans="1:17" ht="12.75" customHeight="1" x14ac:dyDescent="0.2">
      <c r="A535" s="27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</row>
    <row r="536" spans="1:17" ht="12.75" customHeight="1" x14ac:dyDescent="0.2">
      <c r="A536" s="27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</row>
    <row r="537" spans="1:17" ht="12.75" customHeight="1" x14ac:dyDescent="0.2">
      <c r="A537" s="27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</row>
    <row r="538" spans="1:17" ht="12.75" customHeight="1" x14ac:dyDescent="0.2">
      <c r="A538" s="27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</row>
    <row r="539" spans="1:17" ht="12.75" customHeight="1" x14ac:dyDescent="0.2">
      <c r="A539" s="27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</row>
    <row r="540" spans="1:17" ht="12.75" customHeight="1" x14ac:dyDescent="0.2">
      <c r="A540" s="27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</row>
    <row r="541" spans="1:17" ht="12.75" customHeight="1" x14ac:dyDescent="0.2">
      <c r="A541" s="27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</row>
    <row r="542" spans="1:17" ht="12.75" customHeight="1" x14ac:dyDescent="0.2">
      <c r="A542" s="27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</row>
    <row r="543" spans="1:17" ht="12.75" customHeight="1" x14ac:dyDescent="0.2">
      <c r="A543" s="27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</row>
    <row r="544" spans="1:17" ht="12.75" customHeight="1" x14ac:dyDescent="0.2">
      <c r="A544" s="27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</row>
    <row r="545" spans="1:17" ht="12.75" customHeight="1" x14ac:dyDescent="0.2">
      <c r="A545" s="27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</row>
    <row r="546" spans="1:17" ht="12.75" customHeight="1" x14ac:dyDescent="0.2">
      <c r="A546" s="27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</row>
    <row r="547" spans="1:17" ht="12.75" customHeight="1" x14ac:dyDescent="0.2">
      <c r="A547" s="27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</row>
    <row r="548" spans="1:17" ht="12.75" customHeight="1" x14ac:dyDescent="0.2">
      <c r="A548" s="27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</row>
    <row r="549" spans="1:17" ht="12.75" customHeight="1" x14ac:dyDescent="0.2">
      <c r="A549" s="27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</row>
    <row r="550" spans="1:17" ht="12.75" customHeight="1" x14ac:dyDescent="0.2">
      <c r="A550" s="27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</row>
    <row r="551" spans="1:17" ht="12.75" customHeight="1" x14ac:dyDescent="0.2">
      <c r="A551" s="27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</row>
    <row r="552" spans="1:17" ht="12.75" customHeight="1" x14ac:dyDescent="0.2">
      <c r="A552" s="27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</row>
    <row r="553" spans="1:17" ht="12.75" customHeight="1" x14ac:dyDescent="0.2">
      <c r="A553" s="27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</row>
    <row r="554" spans="1:17" ht="12.75" customHeight="1" x14ac:dyDescent="0.2">
      <c r="A554" s="27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</row>
    <row r="555" spans="1:17" ht="12.75" customHeight="1" x14ac:dyDescent="0.2">
      <c r="A555" s="27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</row>
    <row r="556" spans="1:17" ht="12.75" customHeight="1" x14ac:dyDescent="0.2">
      <c r="A556" s="27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</row>
    <row r="557" spans="1:17" ht="12.75" customHeight="1" x14ac:dyDescent="0.2">
      <c r="A557" s="27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</row>
    <row r="558" spans="1:17" ht="12.75" customHeight="1" x14ac:dyDescent="0.2">
      <c r="A558" s="27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</row>
    <row r="559" spans="1:17" ht="12.75" customHeight="1" x14ac:dyDescent="0.2">
      <c r="A559" s="27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</row>
    <row r="560" spans="1:17" ht="12.75" customHeight="1" x14ac:dyDescent="0.2">
      <c r="A560" s="27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</row>
    <row r="561" spans="1:17" ht="12.75" customHeight="1" x14ac:dyDescent="0.2">
      <c r="A561" s="27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</row>
    <row r="562" spans="1:17" ht="12.75" customHeight="1" x14ac:dyDescent="0.2">
      <c r="A562" s="27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</row>
    <row r="563" spans="1:17" ht="12.75" customHeight="1" x14ac:dyDescent="0.2">
      <c r="A563" s="27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</row>
    <row r="564" spans="1:17" ht="12.75" customHeight="1" x14ac:dyDescent="0.2">
      <c r="A564" s="27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</row>
    <row r="565" spans="1:17" ht="12.75" customHeight="1" x14ac:dyDescent="0.2">
      <c r="A565" s="27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</row>
    <row r="566" spans="1:17" ht="12.75" customHeight="1" x14ac:dyDescent="0.2">
      <c r="A566" s="27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</row>
    <row r="567" spans="1:17" ht="12.75" customHeight="1" x14ac:dyDescent="0.2">
      <c r="A567" s="27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</row>
    <row r="568" spans="1:17" ht="12.75" customHeight="1" x14ac:dyDescent="0.2">
      <c r="A568" s="27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</row>
    <row r="569" spans="1:17" ht="12.75" customHeight="1" x14ac:dyDescent="0.2">
      <c r="A569" s="27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</row>
    <row r="570" spans="1:17" ht="12.75" customHeight="1" x14ac:dyDescent="0.2">
      <c r="A570" s="27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</row>
    <row r="571" spans="1:17" ht="12.75" customHeight="1" x14ac:dyDescent="0.2">
      <c r="A571" s="27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</row>
    <row r="572" spans="1:17" ht="12.75" customHeight="1" x14ac:dyDescent="0.2">
      <c r="A572" s="27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</row>
    <row r="573" spans="1:17" ht="12.75" customHeight="1" x14ac:dyDescent="0.2">
      <c r="A573" s="27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</row>
    <row r="574" spans="1:17" ht="12.75" customHeight="1" x14ac:dyDescent="0.2">
      <c r="A574" s="27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</row>
    <row r="575" spans="1:17" ht="12.75" customHeight="1" x14ac:dyDescent="0.2">
      <c r="A575" s="27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</row>
    <row r="576" spans="1:17" ht="12.75" customHeight="1" x14ac:dyDescent="0.2">
      <c r="A576" s="27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</row>
    <row r="577" spans="1:17" ht="12.75" customHeight="1" x14ac:dyDescent="0.2">
      <c r="A577" s="27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</row>
    <row r="578" spans="1:17" ht="12.75" customHeight="1" x14ac:dyDescent="0.2">
      <c r="A578" s="27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</row>
    <row r="579" spans="1:17" ht="12.75" customHeight="1" x14ac:dyDescent="0.2">
      <c r="A579" s="27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</row>
    <row r="580" spans="1:17" ht="12.75" customHeight="1" x14ac:dyDescent="0.2">
      <c r="A580" s="27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</row>
    <row r="581" spans="1:17" ht="12.75" customHeight="1" x14ac:dyDescent="0.2">
      <c r="A581" s="27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</row>
    <row r="582" spans="1:17" ht="12.75" customHeight="1" x14ac:dyDescent="0.2">
      <c r="A582" s="27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</row>
    <row r="583" spans="1:17" ht="12.75" customHeight="1" x14ac:dyDescent="0.2">
      <c r="A583" s="27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</row>
    <row r="584" spans="1:17" ht="12.75" customHeight="1" x14ac:dyDescent="0.2">
      <c r="A584" s="27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</row>
    <row r="585" spans="1:17" ht="12.75" customHeight="1" x14ac:dyDescent="0.2">
      <c r="A585" s="27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</row>
    <row r="586" spans="1:17" ht="12.75" customHeight="1" x14ac:dyDescent="0.2">
      <c r="A586" s="27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</row>
    <row r="587" spans="1:17" ht="12.75" customHeight="1" x14ac:dyDescent="0.2">
      <c r="A587" s="27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</row>
    <row r="588" spans="1:17" ht="12.75" customHeight="1" x14ac:dyDescent="0.2">
      <c r="A588" s="27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</row>
    <row r="589" spans="1:17" ht="12.75" customHeight="1" x14ac:dyDescent="0.2">
      <c r="A589" s="27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</row>
    <row r="590" spans="1:17" ht="12.75" customHeight="1" x14ac:dyDescent="0.2">
      <c r="A590" s="27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</row>
    <row r="591" spans="1:17" ht="12.75" customHeight="1" x14ac:dyDescent="0.2">
      <c r="A591" s="27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</row>
    <row r="592" spans="1:17" ht="12.75" customHeight="1" x14ac:dyDescent="0.2">
      <c r="A592" s="27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</row>
    <row r="593" spans="1:17" ht="12.75" customHeight="1" x14ac:dyDescent="0.2">
      <c r="A593" s="27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</row>
    <row r="594" spans="1:17" ht="12.75" customHeight="1" x14ac:dyDescent="0.2">
      <c r="A594" s="27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</row>
    <row r="595" spans="1:17" ht="12.75" customHeight="1" x14ac:dyDescent="0.2">
      <c r="A595" s="27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</row>
    <row r="596" spans="1:17" ht="12.75" customHeight="1" x14ac:dyDescent="0.2">
      <c r="A596" s="27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</row>
    <row r="597" spans="1:17" ht="12.75" customHeight="1" x14ac:dyDescent="0.2">
      <c r="A597" s="27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</row>
    <row r="598" spans="1:17" ht="12.75" customHeight="1" x14ac:dyDescent="0.2">
      <c r="A598" s="27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</row>
    <row r="599" spans="1:17" ht="12.75" customHeight="1" x14ac:dyDescent="0.2">
      <c r="A599" s="27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</row>
    <row r="600" spans="1:17" ht="12.75" customHeight="1" x14ac:dyDescent="0.2">
      <c r="A600" s="27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</row>
    <row r="601" spans="1:17" ht="12.75" customHeight="1" x14ac:dyDescent="0.2">
      <c r="A601" s="27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</row>
    <row r="602" spans="1:17" ht="12.75" customHeight="1" x14ac:dyDescent="0.2">
      <c r="A602" s="27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</row>
    <row r="603" spans="1:17" ht="12.75" customHeight="1" x14ac:dyDescent="0.2">
      <c r="A603" s="27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</row>
    <row r="604" spans="1:17" ht="12.75" customHeight="1" x14ac:dyDescent="0.2">
      <c r="A604" s="27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</row>
    <row r="605" spans="1:17" ht="12.75" customHeight="1" x14ac:dyDescent="0.2">
      <c r="A605" s="27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</row>
    <row r="606" spans="1:17" ht="12.75" customHeight="1" x14ac:dyDescent="0.2">
      <c r="A606" s="27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</row>
    <row r="607" spans="1:17" ht="12.75" customHeight="1" x14ac:dyDescent="0.2">
      <c r="A607" s="27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</row>
    <row r="608" spans="1:17" ht="12.75" customHeight="1" x14ac:dyDescent="0.2">
      <c r="A608" s="27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</row>
    <row r="609" spans="1:17" ht="12.75" customHeight="1" x14ac:dyDescent="0.2">
      <c r="A609" s="27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</row>
    <row r="610" spans="1:17" ht="12.75" customHeight="1" x14ac:dyDescent="0.2">
      <c r="A610" s="27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</row>
    <row r="611" spans="1:17" ht="12.75" customHeight="1" x14ac:dyDescent="0.2">
      <c r="A611" s="27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</row>
    <row r="612" spans="1:17" ht="12.75" customHeight="1" x14ac:dyDescent="0.2">
      <c r="A612" s="27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</row>
    <row r="613" spans="1:17" ht="12.75" customHeight="1" x14ac:dyDescent="0.2">
      <c r="A613" s="27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</row>
    <row r="614" spans="1:17" ht="12.75" customHeight="1" x14ac:dyDescent="0.2">
      <c r="A614" s="27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</row>
    <row r="615" spans="1:17" ht="12.75" customHeight="1" x14ac:dyDescent="0.2">
      <c r="A615" s="27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</row>
    <row r="616" spans="1:17" ht="12.75" customHeight="1" x14ac:dyDescent="0.2">
      <c r="A616" s="27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</row>
    <row r="617" spans="1:17" ht="12.75" customHeight="1" x14ac:dyDescent="0.2">
      <c r="A617" s="27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</row>
    <row r="618" spans="1:17" ht="12.75" customHeight="1" x14ac:dyDescent="0.2">
      <c r="A618" s="27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</row>
    <row r="619" spans="1:17" ht="12.75" customHeight="1" x14ac:dyDescent="0.2">
      <c r="A619" s="27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</row>
    <row r="620" spans="1:17" ht="12.75" customHeight="1" x14ac:dyDescent="0.2">
      <c r="A620" s="27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</row>
    <row r="621" spans="1:17" ht="12.75" customHeight="1" x14ac:dyDescent="0.2">
      <c r="A621" s="27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</row>
    <row r="622" spans="1:17" ht="12.75" customHeight="1" x14ac:dyDescent="0.2">
      <c r="A622" s="27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</row>
    <row r="623" spans="1:17" ht="12.75" customHeight="1" x14ac:dyDescent="0.2">
      <c r="A623" s="27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</row>
    <row r="624" spans="1:17" ht="12.75" customHeight="1" x14ac:dyDescent="0.2">
      <c r="A624" s="27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</row>
    <row r="625" spans="1:17" ht="12.75" customHeight="1" x14ac:dyDescent="0.2">
      <c r="A625" s="27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</row>
    <row r="626" spans="1:17" ht="12.75" customHeight="1" x14ac:dyDescent="0.2">
      <c r="A626" s="27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</row>
    <row r="627" spans="1:17" ht="12.75" customHeight="1" x14ac:dyDescent="0.2">
      <c r="A627" s="27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</row>
    <row r="628" spans="1:17" ht="12.75" customHeight="1" x14ac:dyDescent="0.2">
      <c r="A628" s="27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</row>
    <row r="629" spans="1:17" ht="12.75" customHeight="1" x14ac:dyDescent="0.2">
      <c r="A629" s="27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</row>
    <row r="630" spans="1:17" ht="12.75" customHeight="1" x14ac:dyDescent="0.2">
      <c r="A630" s="27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</row>
    <row r="631" spans="1:17" ht="12.75" customHeight="1" x14ac:dyDescent="0.2">
      <c r="A631" s="27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</row>
    <row r="632" spans="1:17" ht="12.75" customHeight="1" x14ac:dyDescent="0.2">
      <c r="A632" s="27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</row>
    <row r="633" spans="1:17" ht="12.75" customHeight="1" x14ac:dyDescent="0.2">
      <c r="A633" s="27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</row>
    <row r="634" spans="1:17" ht="12.75" customHeight="1" x14ac:dyDescent="0.2">
      <c r="A634" s="27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</row>
    <row r="635" spans="1:17" ht="12.75" customHeight="1" x14ac:dyDescent="0.2">
      <c r="A635" s="27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</row>
    <row r="636" spans="1:17" ht="12.75" customHeight="1" x14ac:dyDescent="0.2">
      <c r="A636" s="27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</row>
    <row r="637" spans="1:17" ht="12.75" customHeight="1" x14ac:dyDescent="0.2">
      <c r="A637" s="27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</row>
    <row r="638" spans="1:17" ht="12.75" customHeight="1" x14ac:dyDescent="0.2">
      <c r="A638" s="27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</row>
    <row r="639" spans="1:17" ht="12.75" customHeight="1" x14ac:dyDescent="0.2">
      <c r="A639" s="27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</row>
    <row r="640" spans="1:17" ht="12.75" customHeight="1" x14ac:dyDescent="0.2">
      <c r="A640" s="27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</row>
    <row r="641" spans="1:17" ht="12.75" customHeight="1" x14ac:dyDescent="0.2">
      <c r="A641" s="27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</row>
    <row r="642" spans="1:17" ht="12.75" customHeight="1" x14ac:dyDescent="0.2">
      <c r="A642" s="27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</row>
    <row r="643" spans="1:17" ht="12.75" customHeight="1" x14ac:dyDescent="0.2">
      <c r="A643" s="27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</row>
    <row r="644" spans="1:17" ht="12.75" customHeight="1" x14ac:dyDescent="0.2">
      <c r="A644" s="27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</row>
    <row r="645" spans="1:17" ht="12.75" customHeight="1" x14ac:dyDescent="0.2">
      <c r="A645" s="27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</row>
    <row r="646" spans="1:17" ht="12.75" customHeight="1" x14ac:dyDescent="0.2">
      <c r="A646" s="27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</row>
    <row r="647" spans="1:17" ht="12.75" customHeight="1" x14ac:dyDescent="0.2">
      <c r="A647" s="27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</row>
    <row r="648" spans="1:17" ht="12.75" customHeight="1" x14ac:dyDescent="0.2">
      <c r="A648" s="27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</row>
    <row r="649" spans="1:17" ht="12.75" customHeight="1" x14ac:dyDescent="0.2">
      <c r="A649" s="27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</row>
    <row r="650" spans="1:17" ht="12.75" customHeight="1" x14ac:dyDescent="0.2">
      <c r="A650" s="27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</row>
    <row r="651" spans="1:17" ht="12.75" customHeight="1" x14ac:dyDescent="0.2">
      <c r="A651" s="27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</row>
    <row r="652" spans="1:17" ht="12.75" customHeight="1" x14ac:dyDescent="0.2">
      <c r="A652" s="27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</row>
    <row r="653" spans="1:17" ht="12.75" customHeight="1" x14ac:dyDescent="0.2">
      <c r="A653" s="27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</row>
    <row r="654" spans="1:17" ht="12.75" customHeight="1" x14ac:dyDescent="0.2">
      <c r="A654" s="27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</row>
    <row r="655" spans="1:17" ht="12.75" customHeight="1" x14ac:dyDescent="0.2">
      <c r="A655" s="27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</row>
    <row r="656" spans="1:17" ht="12.75" customHeight="1" x14ac:dyDescent="0.2">
      <c r="A656" s="27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</row>
    <row r="657" spans="1:17" ht="12.75" customHeight="1" x14ac:dyDescent="0.2">
      <c r="A657" s="27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</row>
    <row r="658" spans="1:17" ht="12.75" customHeight="1" x14ac:dyDescent="0.2">
      <c r="A658" s="27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</row>
    <row r="659" spans="1:17" ht="12.75" customHeight="1" x14ac:dyDescent="0.2">
      <c r="A659" s="27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</row>
    <row r="660" spans="1:17" ht="12.75" customHeight="1" x14ac:dyDescent="0.2">
      <c r="A660" s="27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</row>
    <row r="661" spans="1:17" ht="12.75" customHeight="1" x14ac:dyDescent="0.2">
      <c r="A661" s="27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</row>
    <row r="662" spans="1:17" ht="12.75" customHeight="1" x14ac:dyDescent="0.2">
      <c r="A662" s="27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</row>
    <row r="663" spans="1:17" ht="12.75" customHeight="1" x14ac:dyDescent="0.2">
      <c r="A663" s="27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</row>
    <row r="664" spans="1:17" ht="12.75" customHeight="1" x14ac:dyDescent="0.2">
      <c r="A664" s="27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</row>
    <row r="665" spans="1:17" ht="12.75" customHeight="1" x14ac:dyDescent="0.2">
      <c r="A665" s="27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</row>
    <row r="666" spans="1:17" ht="12.75" customHeight="1" x14ac:dyDescent="0.2">
      <c r="A666" s="27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</row>
    <row r="667" spans="1:17" ht="12.75" customHeight="1" x14ac:dyDescent="0.2">
      <c r="A667" s="27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</row>
    <row r="668" spans="1:17" ht="12.75" customHeight="1" x14ac:dyDescent="0.2">
      <c r="A668" s="27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</row>
    <row r="669" spans="1:17" ht="12.75" customHeight="1" x14ac:dyDescent="0.2">
      <c r="A669" s="27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</row>
    <row r="670" spans="1:17" ht="12.75" customHeight="1" x14ac:dyDescent="0.2">
      <c r="A670" s="27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</row>
    <row r="671" spans="1:17" ht="12.75" customHeight="1" x14ac:dyDescent="0.2">
      <c r="A671" s="27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</row>
    <row r="672" spans="1:17" ht="12.75" customHeight="1" x14ac:dyDescent="0.2">
      <c r="A672" s="27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</row>
    <row r="673" spans="1:17" ht="12.75" customHeight="1" x14ac:dyDescent="0.2">
      <c r="A673" s="27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</row>
    <row r="674" spans="1:17" ht="12.75" customHeight="1" x14ac:dyDescent="0.2">
      <c r="A674" s="27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</row>
    <row r="675" spans="1:17" ht="12.75" customHeight="1" x14ac:dyDescent="0.2">
      <c r="A675" s="27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</row>
    <row r="676" spans="1:17" ht="12.75" customHeight="1" x14ac:dyDescent="0.2">
      <c r="A676" s="27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</row>
    <row r="677" spans="1:17" ht="12.75" customHeight="1" x14ac:dyDescent="0.2">
      <c r="A677" s="27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</row>
    <row r="678" spans="1:17" ht="12.75" customHeight="1" x14ac:dyDescent="0.2">
      <c r="A678" s="27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</row>
    <row r="679" spans="1:17" ht="12.75" customHeight="1" x14ac:dyDescent="0.2">
      <c r="A679" s="27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</row>
    <row r="680" spans="1:17" ht="12.75" customHeight="1" x14ac:dyDescent="0.2">
      <c r="A680" s="27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</row>
    <row r="681" spans="1:17" ht="12.75" customHeight="1" x14ac:dyDescent="0.2">
      <c r="A681" s="27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</row>
    <row r="682" spans="1:17" ht="12.75" customHeight="1" x14ac:dyDescent="0.2">
      <c r="A682" s="27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</row>
    <row r="683" spans="1:17" ht="12.75" customHeight="1" x14ac:dyDescent="0.2">
      <c r="A683" s="27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</row>
    <row r="684" spans="1:17" ht="12.75" customHeight="1" x14ac:dyDescent="0.2">
      <c r="A684" s="27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</row>
    <row r="685" spans="1:17" ht="12.75" customHeight="1" x14ac:dyDescent="0.2">
      <c r="A685" s="27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</row>
    <row r="686" spans="1:17" ht="12.75" customHeight="1" x14ac:dyDescent="0.2">
      <c r="A686" s="27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</row>
    <row r="687" spans="1:17" ht="12.75" customHeight="1" x14ac:dyDescent="0.2">
      <c r="A687" s="27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</row>
    <row r="688" spans="1:17" ht="12.75" customHeight="1" x14ac:dyDescent="0.2">
      <c r="A688" s="27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</row>
    <row r="689" spans="1:17" ht="12.75" customHeight="1" x14ac:dyDescent="0.2">
      <c r="A689" s="27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</row>
    <row r="690" spans="1:17" ht="12.75" customHeight="1" x14ac:dyDescent="0.2">
      <c r="A690" s="27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</row>
    <row r="691" spans="1:17" ht="12.75" customHeight="1" x14ac:dyDescent="0.2">
      <c r="A691" s="27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</row>
    <row r="692" spans="1:17" ht="12.75" customHeight="1" x14ac:dyDescent="0.2">
      <c r="A692" s="27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</row>
    <row r="693" spans="1:17" ht="12.75" customHeight="1" x14ac:dyDescent="0.2">
      <c r="A693" s="27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</row>
    <row r="694" spans="1:17" ht="12.75" customHeight="1" x14ac:dyDescent="0.2">
      <c r="A694" s="27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</row>
    <row r="695" spans="1:17" ht="12.75" customHeight="1" x14ac:dyDescent="0.2">
      <c r="A695" s="27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</row>
    <row r="696" spans="1:17" ht="12.75" customHeight="1" x14ac:dyDescent="0.2">
      <c r="A696" s="27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</row>
    <row r="697" spans="1:17" ht="12.75" customHeight="1" x14ac:dyDescent="0.2">
      <c r="A697" s="27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</row>
    <row r="698" spans="1:17" ht="12.75" customHeight="1" x14ac:dyDescent="0.2">
      <c r="A698" s="27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</row>
    <row r="699" spans="1:17" ht="12.75" customHeight="1" x14ac:dyDescent="0.2">
      <c r="A699" s="27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</row>
    <row r="700" spans="1:17" ht="12.75" customHeight="1" x14ac:dyDescent="0.2">
      <c r="A700" s="27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</row>
    <row r="701" spans="1:17" ht="12.75" customHeight="1" x14ac:dyDescent="0.2">
      <c r="A701" s="27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</row>
    <row r="702" spans="1:17" ht="12.75" customHeight="1" x14ac:dyDescent="0.2">
      <c r="A702" s="27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</row>
    <row r="703" spans="1:17" ht="12.75" customHeight="1" x14ac:dyDescent="0.2">
      <c r="A703" s="27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</row>
    <row r="704" spans="1:17" ht="12.75" customHeight="1" x14ac:dyDescent="0.2">
      <c r="A704" s="27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</row>
    <row r="705" spans="1:17" ht="12.75" customHeight="1" x14ac:dyDescent="0.2">
      <c r="A705" s="27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</row>
    <row r="706" spans="1:17" ht="12.75" customHeight="1" x14ac:dyDescent="0.2">
      <c r="A706" s="27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</row>
    <row r="707" spans="1:17" ht="12.75" customHeight="1" x14ac:dyDescent="0.2">
      <c r="A707" s="27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</row>
    <row r="708" spans="1:17" ht="12.75" customHeight="1" x14ac:dyDescent="0.2">
      <c r="A708" s="27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</row>
    <row r="709" spans="1:17" ht="12.75" customHeight="1" x14ac:dyDescent="0.2">
      <c r="A709" s="27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</row>
    <row r="710" spans="1:17" ht="12.75" customHeight="1" x14ac:dyDescent="0.2">
      <c r="A710" s="27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</row>
    <row r="711" spans="1:17" ht="12.75" customHeight="1" x14ac:dyDescent="0.2">
      <c r="A711" s="27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</row>
    <row r="712" spans="1:17" ht="12.75" customHeight="1" x14ac:dyDescent="0.2">
      <c r="A712" s="27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</row>
    <row r="713" spans="1:17" ht="12.75" customHeight="1" x14ac:dyDescent="0.2">
      <c r="A713" s="27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</row>
    <row r="714" spans="1:17" ht="12.75" customHeight="1" x14ac:dyDescent="0.2">
      <c r="A714" s="27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</row>
    <row r="715" spans="1:17" ht="12.75" customHeight="1" x14ac:dyDescent="0.2">
      <c r="A715" s="27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</row>
    <row r="716" spans="1:17" ht="12.75" customHeight="1" x14ac:dyDescent="0.2">
      <c r="A716" s="27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</row>
    <row r="717" spans="1:17" ht="12.75" customHeight="1" x14ac:dyDescent="0.2">
      <c r="A717" s="27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</row>
    <row r="718" spans="1:17" ht="12.75" customHeight="1" x14ac:dyDescent="0.2">
      <c r="A718" s="27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</row>
    <row r="719" spans="1:17" ht="12.75" customHeight="1" x14ac:dyDescent="0.2">
      <c r="A719" s="27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</row>
    <row r="720" spans="1:17" ht="12.75" customHeight="1" x14ac:dyDescent="0.2">
      <c r="A720" s="27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</row>
    <row r="721" spans="1:17" ht="12.75" customHeight="1" x14ac:dyDescent="0.2">
      <c r="A721" s="27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</row>
    <row r="722" spans="1:17" ht="12.75" customHeight="1" x14ac:dyDescent="0.2">
      <c r="A722" s="27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</row>
    <row r="723" spans="1:17" ht="12.75" customHeight="1" x14ac:dyDescent="0.2">
      <c r="A723" s="27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</row>
    <row r="724" spans="1:17" ht="12.75" customHeight="1" x14ac:dyDescent="0.2">
      <c r="A724" s="27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</row>
    <row r="725" spans="1:17" ht="12.75" customHeight="1" x14ac:dyDescent="0.2">
      <c r="A725" s="27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</row>
    <row r="726" spans="1:17" ht="12.75" customHeight="1" x14ac:dyDescent="0.2">
      <c r="A726" s="27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</row>
    <row r="727" spans="1:17" ht="12.75" customHeight="1" x14ac:dyDescent="0.2">
      <c r="A727" s="27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</row>
    <row r="728" spans="1:17" ht="12.75" customHeight="1" x14ac:dyDescent="0.2">
      <c r="A728" s="27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</row>
    <row r="729" spans="1:17" ht="12.75" customHeight="1" x14ac:dyDescent="0.2">
      <c r="A729" s="27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</row>
    <row r="730" spans="1:17" ht="12.75" customHeight="1" x14ac:dyDescent="0.2">
      <c r="A730" s="27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</row>
    <row r="731" spans="1:17" ht="12.75" customHeight="1" x14ac:dyDescent="0.2">
      <c r="A731" s="27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</row>
    <row r="732" spans="1:17" ht="12.75" customHeight="1" x14ac:dyDescent="0.2">
      <c r="A732" s="27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</row>
    <row r="733" spans="1:17" ht="12.75" customHeight="1" x14ac:dyDescent="0.2">
      <c r="A733" s="27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</row>
    <row r="734" spans="1:17" ht="12.75" customHeight="1" x14ac:dyDescent="0.2">
      <c r="A734" s="27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</row>
    <row r="735" spans="1:17" ht="12.75" customHeight="1" x14ac:dyDescent="0.2">
      <c r="A735" s="27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</row>
    <row r="736" spans="1:17" ht="12.75" customHeight="1" x14ac:dyDescent="0.2">
      <c r="A736" s="27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</row>
    <row r="737" spans="1:17" ht="12.75" customHeight="1" x14ac:dyDescent="0.2">
      <c r="A737" s="27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</row>
    <row r="738" spans="1:17" ht="12.75" customHeight="1" x14ac:dyDescent="0.2">
      <c r="A738" s="27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</row>
    <row r="739" spans="1:17" ht="12.75" customHeight="1" x14ac:dyDescent="0.2">
      <c r="A739" s="27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</row>
    <row r="740" spans="1:17" ht="12.75" customHeight="1" x14ac:dyDescent="0.2">
      <c r="A740" s="27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</row>
    <row r="741" spans="1:17" ht="12.75" customHeight="1" x14ac:dyDescent="0.2">
      <c r="A741" s="27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</row>
    <row r="742" spans="1:17" ht="12.75" customHeight="1" x14ac:dyDescent="0.2">
      <c r="A742" s="27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</row>
    <row r="743" spans="1:17" ht="12.75" customHeight="1" x14ac:dyDescent="0.2">
      <c r="A743" s="27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</row>
    <row r="744" spans="1:17" ht="12.75" customHeight="1" x14ac:dyDescent="0.2">
      <c r="A744" s="27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</row>
    <row r="745" spans="1:17" ht="12.75" customHeight="1" x14ac:dyDescent="0.2">
      <c r="A745" s="27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</row>
    <row r="746" spans="1:17" ht="12.75" customHeight="1" x14ac:dyDescent="0.2">
      <c r="A746" s="27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</row>
    <row r="747" spans="1:17" ht="12.75" customHeight="1" x14ac:dyDescent="0.2">
      <c r="A747" s="27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</row>
    <row r="748" spans="1:17" ht="12.75" customHeight="1" x14ac:dyDescent="0.2">
      <c r="A748" s="27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</row>
    <row r="749" spans="1:17" ht="12.75" customHeight="1" x14ac:dyDescent="0.2">
      <c r="A749" s="27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</row>
    <row r="750" spans="1:17" ht="12.75" customHeight="1" x14ac:dyDescent="0.2">
      <c r="A750" s="27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</row>
    <row r="751" spans="1:17" ht="12.75" customHeight="1" x14ac:dyDescent="0.2">
      <c r="A751" s="27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</row>
    <row r="752" spans="1:17" ht="12.75" customHeight="1" x14ac:dyDescent="0.2">
      <c r="A752" s="27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</row>
    <row r="753" spans="1:17" ht="12.75" customHeight="1" x14ac:dyDescent="0.2">
      <c r="A753" s="27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</row>
    <row r="754" spans="1:17" ht="12.75" customHeight="1" x14ac:dyDescent="0.2">
      <c r="A754" s="27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</row>
    <row r="755" spans="1:17" ht="12.75" customHeight="1" x14ac:dyDescent="0.2">
      <c r="A755" s="27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</row>
    <row r="756" spans="1:17" ht="12.75" customHeight="1" x14ac:dyDescent="0.2">
      <c r="A756" s="27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</row>
    <row r="757" spans="1:17" ht="12.75" customHeight="1" x14ac:dyDescent="0.2">
      <c r="A757" s="27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</row>
    <row r="758" spans="1:17" ht="12.75" customHeight="1" x14ac:dyDescent="0.2">
      <c r="A758" s="27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</row>
    <row r="759" spans="1:17" ht="12.75" customHeight="1" x14ac:dyDescent="0.2">
      <c r="A759" s="27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</row>
    <row r="760" spans="1:17" ht="12.75" customHeight="1" x14ac:dyDescent="0.2">
      <c r="A760" s="27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</row>
    <row r="761" spans="1:17" ht="12.75" customHeight="1" x14ac:dyDescent="0.2">
      <c r="A761" s="27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</row>
    <row r="762" spans="1:17" ht="12.75" customHeight="1" x14ac:dyDescent="0.2">
      <c r="A762" s="27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</row>
    <row r="763" spans="1:17" ht="12.75" customHeight="1" x14ac:dyDescent="0.2">
      <c r="A763" s="27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</row>
    <row r="764" spans="1:17" ht="12.75" customHeight="1" x14ac:dyDescent="0.2">
      <c r="A764" s="27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</row>
    <row r="765" spans="1:17" ht="12.75" customHeight="1" x14ac:dyDescent="0.2">
      <c r="A765" s="27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</row>
    <row r="766" spans="1:17" ht="12.75" customHeight="1" x14ac:dyDescent="0.2">
      <c r="A766" s="27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</row>
    <row r="767" spans="1:17" ht="12.75" customHeight="1" x14ac:dyDescent="0.2">
      <c r="A767" s="27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</row>
    <row r="768" spans="1:17" ht="12.75" customHeight="1" x14ac:dyDescent="0.2">
      <c r="A768" s="27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</row>
    <row r="769" spans="1:17" ht="12.75" customHeight="1" x14ac:dyDescent="0.2">
      <c r="A769" s="27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</row>
    <row r="770" spans="1:17" ht="12.75" customHeight="1" x14ac:dyDescent="0.2">
      <c r="A770" s="27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</row>
    <row r="771" spans="1:17" ht="12.75" customHeight="1" x14ac:dyDescent="0.2">
      <c r="A771" s="27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</row>
    <row r="772" spans="1:17" ht="12.75" customHeight="1" x14ac:dyDescent="0.2">
      <c r="A772" s="27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</row>
    <row r="773" spans="1:17" ht="12.75" customHeight="1" x14ac:dyDescent="0.2">
      <c r="A773" s="27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</row>
    <row r="774" spans="1:17" ht="12.75" customHeight="1" x14ac:dyDescent="0.2">
      <c r="A774" s="27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</row>
    <row r="775" spans="1:17" ht="12.75" customHeight="1" x14ac:dyDescent="0.2">
      <c r="A775" s="27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</row>
    <row r="776" spans="1:17" ht="12.75" customHeight="1" x14ac:dyDescent="0.2">
      <c r="A776" s="27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</row>
    <row r="777" spans="1:17" ht="12.75" customHeight="1" x14ac:dyDescent="0.2">
      <c r="A777" s="27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</row>
    <row r="778" spans="1:17" ht="12.75" customHeight="1" x14ac:dyDescent="0.2">
      <c r="A778" s="27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</row>
    <row r="779" spans="1:17" ht="12.75" customHeight="1" x14ac:dyDescent="0.2">
      <c r="A779" s="27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</row>
    <row r="780" spans="1:17" ht="12.75" customHeight="1" x14ac:dyDescent="0.2">
      <c r="A780" s="27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</row>
    <row r="781" spans="1:17" ht="12.75" customHeight="1" x14ac:dyDescent="0.2">
      <c r="A781" s="27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</row>
    <row r="782" spans="1:17" ht="12.75" customHeight="1" x14ac:dyDescent="0.2">
      <c r="A782" s="27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</row>
    <row r="783" spans="1:17" ht="12.75" customHeight="1" x14ac:dyDescent="0.2">
      <c r="A783" s="27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</row>
    <row r="784" spans="1:17" ht="12.75" customHeight="1" x14ac:dyDescent="0.2">
      <c r="A784" s="27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</row>
    <row r="785" spans="1:17" ht="12.75" customHeight="1" x14ac:dyDescent="0.2">
      <c r="A785" s="27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</row>
    <row r="786" spans="1:17" ht="12.75" customHeight="1" x14ac:dyDescent="0.2">
      <c r="A786" s="27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</row>
    <row r="787" spans="1:17" ht="12.75" customHeight="1" x14ac:dyDescent="0.2">
      <c r="A787" s="27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</row>
    <row r="788" spans="1:17" ht="12.75" customHeight="1" x14ac:dyDescent="0.2">
      <c r="A788" s="27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</row>
    <row r="789" spans="1:17" ht="12.75" customHeight="1" x14ac:dyDescent="0.2">
      <c r="A789" s="27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</row>
    <row r="790" spans="1:17" ht="12.75" customHeight="1" x14ac:dyDescent="0.2">
      <c r="A790" s="27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</row>
    <row r="791" spans="1:17" ht="12.75" customHeight="1" x14ac:dyDescent="0.2">
      <c r="A791" s="27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</row>
    <row r="792" spans="1:17" ht="12.75" customHeight="1" x14ac:dyDescent="0.2">
      <c r="A792" s="27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</row>
    <row r="793" spans="1:17" ht="12.75" customHeight="1" x14ac:dyDescent="0.2">
      <c r="A793" s="27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</row>
    <row r="794" spans="1:17" ht="12.75" customHeight="1" x14ac:dyDescent="0.2">
      <c r="A794" s="27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</row>
    <row r="795" spans="1:17" ht="12.75" customHeight="1" x14ac:dyDescent="0.2">
      <c r="A795" s="27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</row>
    <row r="796" spans="1:17" ht="12.75" customHeight="1" x14ac:dyDescent="0.2">
      <c r="A796" s="27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</row>
    <row r="797" spans="1:17" ht="12.75" customHeight="1" x14ac:dyDescent="0.2">
      <c r="A797" s="27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</row>
    <row r="798" spans="1:17" ht="12.75" customHeight="1" x14ac:dyDescent="0.2">
      <c r="A798" s="27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</row>
    <row r="799" spans="1:17" ht="12.75" customHeight="1" x14ac:dyDescent="0.2">
      <c r="A799" s="27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</row>
    <row r="800" spans="1:17" ht="12.75" customHeight="1" x14ac:dyDescent="0.2">
      <c r="A800" s="27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</row>
    <row r="801" spans="1:17" ht="12.75" customHeight="1" x14ac:dyDescent="0.2">
      <c r="A801" s="27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</row>
    <row r="802" spans="1:17" ht="12.75" customHeight="1" x14ac:dyDescent="0.2">
      <c r="A802" s="27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</row>
    <row r="803" spans="1:17" ht="12.75" customHeight="1" x14ac:dyDescent="0.2">
      <c r="A803" s="27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</row>
    <row r="804" spans="1:17" ht="12.75" customHeight="1" x14ac:dyDescent="0.2">
      <c r="A804" s="27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</row>
    <row r="805" spans="1:17" ht="12.75" customHeight="1" x14ac:dyDescent="0.2">
      <c r="A805" s="27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</row>
    <row r="806" spans="1:17" ht="12.75" customHeight="1" x14ac:dyDescent="0.2">
      <c r="A806" s="27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</row>
    <row r="807" spans="1:17" ht="12.75" customHeight="1" x14ac:dyDescent="0.2">
      <c r="A807" s="27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</row>
    <row r="808" spans="1:17" ht="12.75" customHeight="1" x14ac:dyDescent="0.2">
      <c r="A808" s="27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</row>
    <row r="809" spans="1:17" ht="12.75" customHeight="1" x14ac:dyDescent="0.2">
      <c r="A809" s="27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</row>
    <row r="810" spans="1:17" ht="12.75" customHeight="1" x14ac:dyDescent="0.2">
      <c r="A810" s="27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</row>
    <row r="811" spans="1:17" ht="12.75" customHeight="1" x14ac:dyDescent="0.2">
      <c r="A811" s="27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</row>
    <row r="812" spans="1:17" ht="12.75" customHeight="1" x14ac:dyDescent="0.2">
      <c r="A812" s="27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</row>
    <row r="813" spans="1:17" ht="12.75" customHeight="1" x14ac:dyDescent="0.2">
      <c r="A813" s="27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</row>
    <row r="814" spans="1:17" ht="12.75" customHeight="1" x14ac:dyDescent="0.2">
      <c r="A814" s="27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</row>
    <row r="815" spans="1:17" ht="12.75" customHeight="1" x14ac:dyDescent="0.2">
      <c r="A815" s="27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</row>
    <row r="816" spans="1:17" ht="12.75" customHeight="1" x14ac:dyDescent="0.2">
      <c r="A816" s="27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</row>
    <row r="817" spans="1:17" ht="12.75" customHeight="1" x14ac:dyDescent="0.2">
      <c r="A817" s="27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</row>
    <row r="818" spans="1:17" ht="12.75" customHeight="1" x14ac:dyDescent="0.2">
      <c r="A818" s="27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</row>
    <row r="819" spans="1:17" ht="12.75" customHeight="1" x14ac:dyDescent="0.2">
      <c r="A819" s="27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</row>
    <row r="820" spans="1:17" ht="12.75" customHeight="1" x14ac:dyDescent="0.2">
      <c r="A820" s="27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</row>
    <row r="821" spans="1:17" ht="12.75" customHeight="1" x14ac:dyDescent="0.2">
      <c r="A821" s="27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</row>
    <row r="822" spans="1:17" ht="12.75" customHeight="1" x14ac:dyDescent="0.2">
      <c r="A822" s="27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</row>
    <row r="823" spans="1:17" ht="12.75" customHeight="1" x14ac:dyDescent="0.2">
      <c r="A823" s="27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</row>
    <row r="824" spans="1:17" ht="12.75" customHeight="1" x14ac:dyDescent="0.2">
      <c r="A824" s="27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</row>
    <row r="825" spans="1:17" ht="12.75" customHeight="1" x14ac:dyDescent="0.2">
      <c r="A825" s="27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</row>
    <row r="826" spans="1:17" ht="12.75" customHeight="1" x14ac:dyDescent="0.2">
      <c r="A826" s="27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</row>
    <row r="827" spans="1:17" ht="12.75" customHeight="1" x14ac:dyDescent="0.2">
      <c r="A827" s="27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</row>
    <row r="828" spans="1:17" ht="12.75" customHeight="1" x14ac:dyDescent="0.2">
      <c r="A828" s="27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</row>
    <row r="829" spans="1:17" ht="12.75" customHeight="1" x14ac:dyDescent="0.2">
      <c r="A829" s="27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</row>
    <row r="830" spans="1:17" ht="12.75" customHeight="1" x14ac:dyDescent="0.2">
      <c r="A830" s="27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</row>
    <row r="831" spans="1:17" ht="12.75" customHeight="1" x14ac:dyDescent="0.2">
      <c r="A831" s="27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</row>
    <row r="832" spans="1:17" ht="12.75" customHeight="1" x14ac:dyDescent="0.2">
      <c r="A832" s="27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</row>
    <row r="833" spans="1:17" ht="12.75" customHeight="1" x14ac:dyDescent="0.2">
      <c r="A833" s="27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</row>
    <row r="834" spans="1:17" ht="12.75" customHeight="1" x14ac:dyDescent="0.2">
      <c r="A834" s="27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</row>
    <row r="835" spans="1:17" ht="12.75" customHeight="1" x14ac:dyDescent="0.2">
      <c r="A835" s="27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</row>
    <row r="836" spans="1:17" ht="12.75" customHeight="1" x14ac:dyDescent="0.2">
      <c r="A836" s="27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</row>
    <row r="837" spans="1:17" ht="12.75" customHeight="1" x14ac:dyDescent="0.2">
      <c r="A837" s="27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</row>
    <row r="838" spans="1:17" ht="12.75" customHeight="1" x14ac:dyDescent="0.2">
      <c r="A838" s="27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</row>
    <row r="839" spans="1:17" ht="12.75" customHeight="1" x14ac:dyDescent="0.2">
      <c r="A839" s="27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</row>
    <row r="840" spans="1:17" ht="12.75" customHeight="1" x14ac:dyDescent="0.2">
      <c r="A840" s="27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</row>
    <row r="841" spans="1:17" ht="12.75" customHeight="1" x14ac:dyDescent="0.2">
      <c r="A841" s="27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</row>
    <row r="842" spans="1:17" ht="12.75" customHeight="1" x14ac:dyDescent="0.2">
      <c r="A842" s="27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</row>
    <row r="843" spans="1:17" ht="12.75" customHeight="1" x14ac:dyDescent="0.2">
      <c r="A843" s="27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</row>
    <row r="844" spans="1:17" ht="12.75" customHeight="1" x14ac:dyDescent="0.2">
      <c r="A844" s="27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</row>
    <row r="845" spans="1:17" ht="12.75" customHeight="1" x14ac:dyDescent="0.2">
      <c r="A845" s="27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</row>
    <row r="846" spans="1:17" ht="12.75" customHeight="1" x14ac:dyDescent="0.2">
      <c r="A846" s="27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</row>
    <row r="847" spans="1:17" ht="12.75" customHeight="1" x14ac:dyDescent="0.2">
      <c r="A847" s="27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</row>
    <row r="848" spans="1:17" ht="12.75" customHeight="1" x14ac:dyDescent="0.2">
      <c r="A848" s="27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</row>
    <row r="849" spans="1:17" ht="12.75" customHeight="1" x14ac:dyDescent="0.2">
      <c r="A849" s="27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</row>
    <row r="850" spans="1:17" ht="12.75" customHeight="1" x14ac:dyDescent="0.2">
      <c r="A850" s="27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</row>
    <row r="851" spans="1:17" ht="12.75" customHeight="1" x14ac:dyDescent="0.2">
      <c r="A851" s="27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</row>
    <row r="852" spans="1:17" ht="12.75" customHeight="1" x14ac:dyDescent="0.2">
      <c r="A852" s="27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</row>
    <row r="853" spans="1:17" ht="12.75" customHeight="1" x14ac:dyDescent="0.2">
      <c r="A853" s="27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</row>
    <row r="854" spans="1:17" ht="12.75" customHeight="1" x14ac:dyDescent="0.2">
      <c r="A854" s="27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</row>
    <row r="855" spans="1:17" ht="12.75" customHeight="1" x14ac:dyDescent="0.2">
      <c r="A855" s="27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</row>
    <row r="856" spans="1:17" ht="12.75" customHeight="1" x14ac:dyDescent="0.2">
      <c r="A856" s="27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</row>
    <row r="857" spans="1:17" ht="12.75" customHeight="1" x14ac:dyDescent="0.2">
      <c r="A857" s="27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</row>
    <row r="858" spans="1:17" ht="12.75" customHeight="1" x14ac:dyDescent="0.2">
      <c r="A858" s="27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</row>
    <row r="859" spans="1:17" ht="12.75" customHeight="1" x14ac:dyDescent="0.2">
      <c r="A859" s="27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</row>
    <row r="860" spans="1:17" ht="12.75" customHeight="1" x14ac:dyDescent="0.2">
      <c r="A860" s="27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</row>
    <row r="861" spans="1:17" ht="12.75" customHeight="1" x14ac:dyDescent="0.2">
      <c r="A861" s="27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</row>
    <row r="862" spans="1:17" ht="12.75" customHeight="1" x14ac:dyDescent="0.2">
      <c r="A862" s="27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</row>
    <row r="863" spans="1:17" ht="12.75" customHeight="1" x14ac:dyDescent="0.2">
      <c r="A863" s="27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</row>
    <row r="864" spans="1:17" ht="12.75" customHeight="1" x14ac:dyDescent="0.2">
      <c r="A864" s="27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</row>
    <row r="865" spans="1:17" ht="12.75" customHeight="1" x14ac:dyDescent="0.2">
      <c r="A865" s="27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</row>
    <row r="866" spans="1:17" ht="12.75" customHeight="1" x14ac:dyDescent="0.2">
      <c r="A866" s="27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</row>
    <row r="867" spans="1:17" ht="12.75" customHeight="1" x14ac:dyDescent="0.2">
      <c r="A867" s="27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</row>
    <row r="868" spans="1:17" ht="12.75" customHeight="1" x14ac:dyDescent="0.2">
      <c r="A868" s="27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</row>
    <row r="869" spans="1:17" ht="12.75" customHeight="1" x14ac:dyDescent="0.2">
      <c r="A869" s="27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</row>
    <row r="870" spans="1:17" ht="12.75" customHeight="1" x14ac:dyDescent="0.2">
      <c r="A870" s="27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</row>
    <row r="871" spans="1:17" ht="12.75" customHeight="1" x14ac:dyDescent="0.2">
      <c r="A871" s="27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</row>
    <row r="872" spans="1:17" ht="12.75" customHeight="1" x14ac:dyDescent="0.2">
      <c r="A872" s="27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</row>
    <row r="873" spans="1:17" ht="12.75" customHeight="1" x14ac:dyDescent="0.2">
      <c r="A873" s="27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</row>
    <row r="874" spans="1:17" ht="12.75" customHeight="1" x14ac:dyDescent="0.2">
      <c r="A874" s="27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</row>
    <row r="875" spans="1:17" ht="12.75" customHeight="1" x14ac:dyDescent="0.2">
      <c r="A875" s="27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</row>
    <row r="876" spans="1:17" ht="12.75" customHeight="1" x14ac:dyDescent="0.2">
      <c r="A876" s="27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</row>
    <row r="877" spans="1:17" ht="12.75" customHeight="1" x14ac:dyDescent="0.2">
      <c r="A877" s="27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</row>
    <row r="878" spans="1:17" ht="12.75" customHeight="1" x14ac:dyDescent="0.2">
      <c r="A878" s="27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</row>
    <row r="879" spans="1:17" ht="12.75" customHeight="1" x14ac:dyDescent="0.2">
      <c r="A879" s="27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</row>
    <row r="880" spans="1:17" ht="12.75" customHeight="1" x14ac:dyDescent="0.2">
      <c r="A880" s="27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</row>
    <row r="881" spans="1:17" ht="12.75" customHeight="1" x14ac:dyDescent="0.2">
      <c r="A881" s="27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</row>
    <row r="882" spans="1:17" ht="12.75" customHeight="1" x14ac:dyDescent="0.2">
      <c r="A882" s="27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</row>
    <row r="883" spans="1:17" ht="12.75" customHeight="1" x14ac:dyDescent="0.2">
      <c r="A883" s="27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</row>
    <row r="884" spans="1:17" ht="12.75" customHeight="1" x14ac:dyDescent="0.2">
      <c r="A884" s="27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</row>
    <row r="885" spans="1:17" ht="12.75" customHeight="1" x14ac:dyDescent="0.2">
      <c r="A885" s="27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</row>
    <row r="886" spans="1:17" ht="12.75" customHeight="1" x14ac:dyDescent="0.2">
      <c r="A886" s="27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</row>
    <row r="887" spans="1:17" ht="12.75" customHeight="1" x14ac:dyDescent="0.2">
      <c r="A887" s="27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</row>
    <row r="888" spans="1:17" ht="12.75" customHeight="1" x14ac:dyDescent="0.2">
      <c r="A888" s="27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</row>
    <row r="889" spans="1:17" ht="12.75" customHeight="1" x14ac:dyDescent="0.2">
      <c r="A889" s="27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</row>
    <row r="890" spans="1:17" ht="12.75" customHeight="1" x14ac:dyDescent="0.2">
      <c r="A890" s="27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</row>
    <row r="891" spans="1:17" ht="12.75" customHeight="1" x14ac:dyDescent="0.2">
      <c r="A891" s="27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</row>
  </sheetData>
  <mergeCells count="1">
    <mergeCell ref="B1:D1"/>
  </mergeCells>
  <printOptions horizontalCentered="1"/>
  <pageMargins left="0.3" right="0.3" top="0.3" bottom="0.3" header="0" footer="0"/>
  <pageSetup paperSize="9" scale="87"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6">
    <tabColor theme="9" tint="0.59999389629810485"/>
    <pageSetUpPr fitToPage="1"/>
  </sheetPr>
  <dimension ref="B1:T58"/>
  <sheetViews>
    <sheetView workbookViewId="0">
      <selection activeCell="D6" sqref="D6"/>
    </sheetView>
  </sheetViews>
  <sheetFormatPr baseColWidth="10" defaultColWidth="11.42578125" defaultRowHeight="12.75" x14ac:dyDescent="0.25"/>
  <cols>
    <col min="1" max="1" width="3" style="20" customWidth="1"/>
    <col min="2" max="2" width="8.7109375" style="20" customWidth="1"/>
    <col min="3" max="3" width="20.7109375" style="20" customWidth="1"/>
    <col min="4" max="4" width="40.7109375" style="20" customWidth="1"/>
    <col min="5" max="5" width="63.28515625" style="20" customWidth="1"/>
    <col min="6" max="6" width="18.7109375" style="20" customWidth="1"/>
    <col min="7" max="7" width="37.7109375" style="20" customWidth="1"/>
    <col min="8" max="8" width="91.7109375" style="20" customWidth="1"/>
    <col min="9" max="9" width="15.140625" style="20" bestFit="1" customWidth="1"/>
    <col min="10" max="10" width="17.140625" style="20" bestFit="1" customWidth="1"/>
    <col min="11" max="12" width="11.42578125" style="20" customWidth="1"/>
    <col min="13" max="16384" width="11.42578125" style="20"/>
  </cols>
  <sheetData>
    <row r="1" spans="2:20" s="14" customFormat="1" ht="45" customHeight="1" x14ac:dyDescent="0.25">
      <c r="B1" s="100" t="s">
        <v>106</v>
      </c>
      <c r="C1" s="115"/>
      <c r="D1" s="115"/>
      <c r="E1" s="115"/>
      <c r="H1" s="15"/>
      <c r="I1" s="16"/>
      <c r="J1" s="16"/>
      <c r="K1" s="16"/>
      <c r="L1" s="17"/>
      <c r="M1" s="17"/>
      <c r="N1" s="15"/>
      <c r="O1" s="15"/>
      <c r="P1" s="15"/>
      <c r="Q1" s="15"/>
      <c r="R1" s="15"/>
      <c r="S1" s="15"/>
      <c r="T1" s="15"/>
    </row>
    <row r="2" spans="2:20" s="14" customFormat="1" ht="19.5" customHeight="1" x14ac:dyDescent="0.25">
      <c r="B2" s="78"/>
      <c r="C2" s="25"/>
      <c r="D2" s="25"/>
      <c r="E2" s="25"/>
      <c r="H2" s="15"/>
      <c r="I2" s="16"/>
      <c r="J2" s="16"/>
      <c r="K2" s="16"/>
      <c r="L2" s="17"/>
      <c r="M2" s="17"/>
      <c r="N2" s="15"/>
      <c r="O2" s="15"/>
      <c r="P2" s="15"/>
      <c r="Q2" s="15"/>
      <c r="R2" s="15"/>
      <c r="S2" s="15"/>
      <c r="T2" s="15"/>
    </row>
    <row r="3" spans="2:20" s="14" customFormat="1" ht="19.5" customHeight="1" x14ac:dyDescent="0.25">
      <c r="B3" s="113" t="s">
        <v>107</v>
      </c>
      <c r="C3" s="94"/>
      <c r="D3" s="94"/>
      <c r="E3" s="96"/>
      <c r="F3" s="16"/>
      <c r="G3" s="16"/>
      <c r="H3" s="15"/>
      <c r="I3" s="16"/>
      <c r="J3" s="16"/>
      <c r="K3" s="16"/>
      <c r="L3" s="17"/>
      <c r="M3" s="17"/>
      <c r="N3" s="15"/>
      <c r="O3" s="15"/>
      <c r="P3" s="15"/>
      <c r="Q3" s="15"/>
      <c r="R3" s="15"/>
      <c r="S3" s="15"/>
      <c r="T3" s="15"/>
    </row>
    <row r="4" spans="2:20" s="14" customFormat="1" ht="19.5" customHeight="1" x14ac:dyDescent="0.25">
      <c r="B4" s="112" t="s">
        <v>108</v>
      </c>
      <c r="C4" s="96"/>
      <c r="D4" s="112" t="s">
        <v>109</v>
      </c>
      <c r="E4" s="96"/>
      <c r="F4" s="16"/>
      <c r="G4" s="16"/>
      <c r="H4" s="15"/>
      <c r="I4" s="16"/>
      <c r="J4" s="16"/>
      <c r="K4" s="16"/>
      <c r="L4" s="17"/>
      <c r="M4" s="17"/>
      <c r="N4" s="15"/>
      <c r="O4" s="15"/>
      <c r="P4" s="15"/>
      <c r="Q4" s="15"/>
      <c r="R4" s="15"/>
      <c r="S4" s="15"/>
      <c r="T4" s="15"/>
    </row>
    <row r="5" spans="2:20" s="14" customFormat="1" ht="19.5" customHeight="1" x14ac:dyDescent="0.25">
      <c r="B5" s="111" t="s">
        <v>110</v>
      </c>
      <c r="C5" s="96"/>
      <c r="D5" s="111" t="s">
        <v>126</v>
      </c>
      <c r="E5" s="96"/>
      <c r="F5" s="16"/>
      <c r="G5" s="16"/>
      <c r="H5" s="15"/>
      <c r="I5" s="16"/>
      <c r="J5" s="16"/>
      <c r="K5" s="16"/>
      <c r="L5" s="17"/>
      <c r="M5" s="17"/>
      <c r="N5" s="15"/>
      <c r="O5" s="15"/>
      <c r="P5" s="15"/>
      <c r="Q5" s="15"/>
      <c r="R5" s="15"/>
      <c r="S5" s="15"/>
      <c r="T5" s="15"/>
    </row>
    <row r="6" spans="2:20" s="14" customFormat="1" ht="19.5" customHeight="1" x14ac:dyDescent="0.25">
      <c r="C6" s="15"/>
      <c r="D6" s="16"/>
      <c r="E6" s="16"/>
      <c r="F6" s="16"/>
      <c r="G6" s="16"/>
      <c r="H6" s="15"/>
      <c r="I6" s="16"/>
      <c r="J6" s="16"/>
      <c r="K6" s="16"/>
      <c r="L6" s="17"/>
      <c r="M6" s="17"/>
      <c r="N6" s="15"/>
      <c r="O6" s="15"/>
      <c r="P6" s="15"/>
      <c r="Q6" s="15"/>
      <c r="R6" s="15"/>
      <c r="S6" s="15"/>
      <c r="T6" s="15"/>
    </row>
    <row r="7" spans="2:20" ht="19.5" customHeight="1" x14ac:dyDescent="0.25">
      <c r="B7" s="113" t="s">
        <v>111</v>
      </c>
      <c r="C7" s="94"/>
      <c r="D7" s="94"/>
      <c r="E7" s="96"/>
      <c r="F7" s="18"/>
      <c r="G7" s="19"/>
      <c r="H7" s="18"/>
    </row>
    <row r="8" spans="2:20" ht="19.5" customHeight="1" x14ac:dyDescent="0.25">
      <c r="B8" s="111"/>
      <c r="C8" s="96"/>
      <c r="D8" s="114" t="s">
        <v>112</v>
      </c>
      <c r="E8" s="96"/>
    </row>
    <row r="9" spans="2:20" ht="19.5" customHeight="1" x14ac:dyDescent="0.25">
      <c r="B9" s="119"/>
      <c r="C9" s="120"/>
      <c r="D9" s="114" t="s">
        <v>113</v>
      </c>
      <c r="E9" s="96"/>
    </row>
    <row r="10" spans="2:20" ht="19.5" customHeight="1" x14ac:dyDescent="0.25">
      <c r="B10" s="118"/>
      <c r="C10" s="96"/>
      <c r="D10" s="114"/>
      <c r="E10" s="96"/>
    </row>
    <row r="11" spans="2:20" ht="19.5" customHeight="1" x14ac:dyDescent="0.25">
      <c r="B11" s="118" t="s">
        <v>114</v>
      </c>
      <c r="C11" s="96"/>
      <c r="D11" s="114" t="s">
        <v>115</v>
      </c>
      <c r="E11" s="96"/>
    </row>
    <row r="12" spans="2:20" ht="19.5" customHeight="1" x14ac:dyDescent="0.25">
      <c r="B12" s="21"/>
      <c r="C12" s="22"/>
      <c r="D12" s="114" t="s">
        <v>116</v>
      </c>
      <c r="E12" s="96"/>
    </row>
    <row r="13" spans="2:20" ht="19.5" customHeight="1" x14ac:dyDescent="0.25">
      <c r="B13" s="21"/>
      <c r="C13" s="23"/>
      <c r="D13" s="114" t="s">
        <v>117</v>
      </c>
      <c r="E13" s="96"/>
    </row>
    <row r="14" spans="2:20" ht="19.5" customHeight="1" x14ac:dyDescent="0.25">
      <c r="B14" s="21"/>
      <c r="C14" s="76"/>
      <c r="D14" s="114" t="s">
        <v>118</v>
      </c>
      <c r="E14" s="96"/>
    </row>
    <row r="15" spans="2:20" ht="19.5" customHeight="1" x14ac:dyDescent="0.25">
      <c r="B15" s="18"/>
      <c r="C15" s="19"/>
      <c r="D15" s="18"/>
    </row>
    <row r="16" spans="2:20" ht="19.5" customHeight="1" x14ac:dyDescent="0.25">
      <c r="B16" s="18"/>
      <c r="C16" s="19"/>
      <c r="D16" s="18"/>
    </row>
    <row r="17" spans="2:6" ht="19.5" customHeight="1" x14ac:dyDescent="0.25">
      <c r="B17" s="24"/>
      <c r="C17" s="24"/>
      <c r="D17" s="24"/>
      <c r="E17" s="116"/>
      <c r="F17" s="117"/>
    </row>
    <row r="18" spans="2:6" ht="19.5" customHeight="1" x14ac:dyDescent="0.25">
      <c r="B18" s="18"/>
      <c r="C18" s="19"/>
      <c r="D18" s="25"/>
    </row>
    <row r="19" spans="2:6" ht="19.5" customHeight="1" x14ac:dyDescent="0.25">
      <c r="B19" s="18"/>
      <c r="C19" s="19"/>
      <c r="D19" s="25"/>
    </row>
    <row r="20" spans="2:6" ht="19.5" customHeight="1" x14ac:dyDescent="0.25">
      <c r="B20" s="18"/>
      <c r="C20" s="26"/>
      <c r="D20" s="25"/>
    </row>
    <row r="21" spans="2:6" ht="19.5" customHeight="1" x14ac:dyDescent="0.25">
      <c r="B21" s="18"/>
      <c r="C21" s="19"/>
      <c r="D21" s="18"/>
    </row>
    <row r="22" spans="2:6" ht="19.5" customHeight="1" x14ac:dyDescent="0.25">
      <c r="B22" s="18"/>
      <c r="C22" s="19"/>
      <c r="D22" s="18"/>
    </row>
    <row r="23" spans="2:6" ht="19.5" customHeight="1" x14ac:dyDescent="0.25"/>
    <row r="24" spans="2:6" ht="19.5" customHeight="1" x14ac:dyDescent="0.25"/>
    <row r="25" spans="2:6" ht="19.5" customHeight="1" x14ac:dyDescent="0.25"/>
    <row r="26" spans="2:6" ht="19.5" customHeight="1" x14ac:dyDescent="0.25"/>
    <row r="27" spans="2:6" ht="19.5" customHeight="1" x14ac:dyDescent="0.25"/>
    <row r="28" spans="2:6" ht="19.5" customHeight="1" x14ac:dyDescent="0.25"/>
    <row r="29" spans="2:6" ht="19.5" customHeight="1" x14ac:dyDescent="0.25"/>
    <row r="30" spans="2:6" ht="19.5" customHeight="1" x14ac:dyDescent="0.25"/>
    <row r="31" spans="2:6" ht="19.5" customHeight="1" x14ac:dyDescent="0.25"/>
    <row r="32" spans="2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</sheetData>
  <mergeCells count="19">
    <mergeCell ref="E17:F17"/>
    <mergeCell ref="B5:C5"/>
    <mergeCell ref="B3:E3"/>
    <mergeCell ref="B10:C10"/>
    <mergeCell ref="D4:E4"/>
    <mergeCell ref="D10:E10"/>
    <mergeCell ref="D13:E13"/>
    <mergeCell ref="D9:E9"/>
    <mergeCell ref="D14:E14"/>
    <mergeCell ref="B9:C9"/>
    <mergeCell ref="D8:E8"/>
    <mergeCell ref="B11:C11"/>
    <mergeCell ref="D5:E5"/>
    <mergeCell ref="D11:E11"/>
    <mergeCell ref="B8:C8"/>
    <mergeCell ref="B4:C4"/>
    <mergeCell ref="B7:E7"/>
    <mergeCell ref="D12:E12"/>
    <mergeCell ref="B1:E1"/>
  </mergeCells>
  <pageMargins left="0.7" right="0.7" top="0.75" bottom="0.75" header="0.3" footer="0.3"/>
  <pageSetup paperSize="9" scale="96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4002726BB1F443968F5414BE7A2EF1" ma:contentTypeVersion="4" ma:contentTypeDescription="Ein neues Dokument erstellen." ma:contentTypeScope="" ma:versionID="4ec34f4de6e098e8ddaaad2f3075d8d7">
  <xsd:schema xmlns:xsd="http://www.w3.org/2001/XMLSchema" xmlns:xs="http://www.w3.org/2001/XMLSchema" xmlns:p="http://schemas.microsoft.com/office/2006/metadata/properties" xmlns:ns2="c6aad9c2-76e7-4ab2-8cc5-b497496d599b" targetNamespace="http://schemas.microsoft.com/office/2006/metadata/properties" ma:root="true" ma:fieldsID="788eb9c00d7c1360833984a8fe946355" ns2:_="">
    <xsd:import namespace="c6aad9c2-76e7-4ab2-8cc5-b497496d5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d9c2-76e7-4ab2-8cc5-b497496d5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393284-8A63-48AF-BA2E-ED6244B8DCDC}"/>
</file>

<file path=customXml/itemProps2.xml><?xml version="1.0" encoding="utf-8"?>
<ds:datastoreItem xmlns:ds="http://schemas.openxmlformats.org/officeDocument/2006/customXml" ds:itemID="{E62B6890-963C-418F-9463-BFC0EFBFEDFA}"/>
</file>

<file path=customXml/itemProps3.xml><?xml version="1.0" encoding="utf-8"?>
<ds:datastoreItem xmlns:ds="http://schemas.openxmlformats.org/officeDocument/2006/customXml" ds:itemID="{CA8FFA5A-78D0-42A4-9377-F786E5638FA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Report</vt:lpstr>
      <vt:lpstr>Test Cases</vt:lpstr>
      <vt:lpstr>Comments</vt:lpstr>
      <vt:lpstr>Legend</vt:lpstr>
      <vt:lpstr>Comments!Druckbereich</vt:lpstr>
      <vt:lpstr>Legend!Druckbereich</vt:lpstr>
      <vt:lpstr>Report!Druckbereich</vt:lpstr>
      <vt:lpstr>'Test Cases'!Druckbereich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Sheladiya</dc:creator>
  <cp:lastModifiedBy>Andreas Schwackenberg (NEW)</cp:lastModifiedBy>
  <cp:lastPrinted>2026-06-23T23:39:01Z</cp:lastPrinted>
  <dcterms:created xsi:type="dcterms:W3CDTF">2026-04-15T10:19:39Z</dcterms:created>
  <dcterms:modified xsi:type="dcterms:W3CDTF">2026-07-06T18:00:34Z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0x010100804002726BB1F443968F5414BE7A2EF1</vt:lpwstr>
  </property>
</Properties>
</file>